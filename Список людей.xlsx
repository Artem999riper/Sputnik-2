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B2C38AB-5EB1-40A4-9B02-D2A7ECC8CC51}" xr6:coauthVersionLast="47" xr6:coauthVersionMax="47" xr10:uidLastSave="{00000000-0000-0000-0000-000000000000}"/>
  <bookViews>
    <workbookView xWindow="-120" yWindow="-120" windowWidth="29040" windowHeight="15840" tabRatio="713" xr2:uid="{00000000-000D-0000-FFFF-FFFF00000000}"/>
  </bookViews>
  <sheets>
    <sheet name="График" sheetId="8" r:id="rId1"/>
    <sheet name="Для ПГК факт" sheetId="6" state="hidden" r:id="rId2"/>
    <sheet name="Для ПГК" sheetId="1" state="hidden" r:id="rId3"/>
    <sheet name="Лист1" sheetId="4" state="hidden" r:id="rId4"/>
    <sheet name="Для Заказчика" sheetId="3" state="hidden" r:id="rId5"/>
  </sheets>
  <definedNames>
    <definedName name="_xlnm.Print_Area" localSheetId="0">График!$B$73:$B$100</definedName>
  </definedNames>
  <calcPr calcId="181029"/>
</workbook>
</file>

<file path=xl/calcChain.xml><?xml version="1.0" encoding="utf-8"?>
<calcChain xmlns="http://schemas.openxmlformats.org/spreadsheetml/2006/main">
  <c r="I45" i="8" l="1"/>
  <c r="H45" i="8"/>
  <c r="H46" i="8"/>
  <c r="I46" i="8"/>
  <c r="I44" i="8"/>
  <c r="H44" i="8"/>
  <c r="I43" i="8" l="1"/>
  <c r="H43" i="8"/>
  <c r="H42" i="8" l="1"/>
  <c r="H41" i="8"/>
  <c r="I41" i="8"/>
  <c r="I42" i="8"/>
  <c r="I31" i="8" l="1"/>
  <c r="H31" i="8"/>
  <c r="H29" i="8"/>
  <c r="H30" i="8"/>
  <c r="I29" i="8"/>
  <c r="I30" i="8"/>
  <c r="I28" i="8"/>
  <c r="H28" i="8"/>
  <c r="I27" i="8"/>
  <c r="H27" i="8"/>
  <c r="H26" i="8" l="1"/>
  <c r="I26" i="8"/>
  <c r="I48" i="8" l="1"/>
  <c r="H48" i="8"/>
  <c r="I49" i="8"/>
  <c r="H49" i="8"/>
  <c r="I50" i="8"/>
  <c r="H50" i="8"/>
  <c r="I40" i="8" l="1"/>
  <c r="H40" i="8"/>
  <c r="I39" i="8"/>
  <c r="H39" i="8"/>
  <c r="I38" i="8"/>
  <c r="H38" i="8"/>
  <c r="H5" i="8" l="1"/>
  <c r="I5" i="8"/>
  <c r="I67" i="8"/>
  <c r="H67" i="8"/>
  <c r="I53" i="8" l="1"/>
  <c r="H53" i="8"/>
  <c r="I52" i="8"/>
  <c r="H52" i="8"/>
  <c r="I51" i="8"/>
  <c r="H51" i="8"/>
  <c r="I54" i="8"/>
  <c r="H54" i="8"/>
  <c r="I56" i="8" l="1"/>
  <c r="H56" i="8"/>
  <c r="I55" i="8"/>
  <c r="H55" i="8"/>
  <c r="I58" i="8"/>
  <c r="H58" i="8"/>
  <c r="I57" i="8"/>
  <c r="H57" i="8"/>
  <c r="I60" i="8"/>
  <c r="H60" i="8"/>
  <c r="I59" i="8"/>
  <c r="H59" i="8"/>
  <c r="I61" i="8"/>
  <c r="H61" i="8"/>
  <c r="I64" i="8" l="1"/>
  <c r="H64" i="8"/>
  <c r="I63" i="8"/>
  <c r="H63" i="8"/>
  <c r="I62" i="8"/>
  <c r="H62" i="8"/>
  <c r="I65" i="8" l="1"/>
  <c r="H65" i="8"/>
  <c r="H24" i="8"/>
  <c r="H25" i="8"/>
  <c r="I24" i="8"/>
  <c r="I25" i="8"/>
  <c r="I66" i="8" l="1"/>
  <c r="H66" i="8"/>
  <c r="I68" i="8" l="1"/>
  <c r="H68" i="8"/>
  <c r="I70" i="8" l="1"/>
  <c r="H70" i="8"/>
  <c r="I69" i="8"/>
  <c r="H69" i="8"/>
  <c r="H3" i="8" l="1"/>
  <c r="H4" i="8"/>
  <c r="I3" i="8"/>
  <c r="I4" i="8"/>
  <c r="I47" i="8"/>
  <c r="H47" i="8"/>
  <c r="I37" i="8"/>
  <c r="H37" i="8"/>
  <c r="I36" i="8"/>
  <c r="H36" i="8"/>
  <c r="I71" i="8" l="1"/>
  <c r="H71" i="8"/>
  <c r="H35" i="8"/>
  <c r="H34" i="8"/>
  <c r="H33" i="8"/>
  <c r="H32" i="8"/>
  <c r="I35" i="8"/>
  <c r="I33" i="8"/>
  <c r="I32" i="8"/>
  <c r="I72" i="8"/>
  <c r="H72" i="8"/>
  <c r="I34" i="8"/>
  <c r="I20" i="8" l="1"/>
  <c r="H20" i="8"/>
  <c r="I23" i="8"/>
  <c r="H23" i="8"/>
  <c r="I19" i="8"/>
  <c r="H19" i="8"/>
  <c r="I18" i="8"/>
  <c r="H18" i="8"/>
  <c r="I17" i="8"/>
  <c r="H17" i="8"/>
  <c r="I22" i="8"/>
  <c r="H22" i="8"/>
  <c r="I21" i="8"/>
  <c r="H21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H10" i="8"/>
  <c r="I9" i="8" l="1"/>
  <c r="H9" i="8"/>
  <c r="I8" i="8"/>
  <c r="H8" i="8"/>
  <c r="I7" i="8"/>
  <c r="H7" i="8"/>
  <c r="H101" i="8" l="1"/>
  <c r="I101" i="8"/>
  <c r="H102" i="8"/>
  <c r="I102" i="8"/>
  <c r="H103" i="8"/>
  <c r="I103" i="8"/>
  <c r="H104" i="8"/>
  <c r="I104" i="8"/>
  <c r="I6" i="8" l="1"/>
  <c r="H6" i="8"/>
  <c r="I74" i="8" l="1"/>
  <c r="H74" i="8"/>
  <c r="I75" i="8" l="1"/>
  <c r="H75" i="8"/>
  <c r="I76" i="8" l="1"/>
  <c r="H76" i="8"/>
  <c r="I78" i="8" l="1"/>
  <c r="H78" i="8"/>
  <c r="I77" i="8" l="1"/>
  <c r="H77" i="8"/>
  <c r="I80" i="8" l="1"/>
  <c r="H80" i="8"/>
  <c r="I79" i="8"/>
  <c r="H79" i="8"/>
  <c r="I82" i="8" l="1"/>
  <c r="H82" i="8"/>
  <c r="I81" i="8"/>
  <c r="H81" i="8"/>
  <c r="I84" i="8" l="1"/>
  <c r="H84" i="8"/>
  <c r="I83" i="8"/>
  <c r="H83" i="8"/>
  <c r="I73" i="8" l="1"/>
  <c r="H73" i="8"/>
  <c r="I86" i="8" l="1"/>
  <c r="H86" i="8"/>
  <c r="I2" i="8" l="1"/>
  <c r="H2" i="8"/>
  <c r="I87" i="8" l="1"/>
  <c r="H87" i="8"/>
  <c r="H88" i="8"/>
  <c r="I88" i="8"/>
  <c r="I89" i="8" l="1"/>
  <c r="H89" i="8"/>
  <c r="I91" i="8" l="1"/>
  <c r="H91" i="8"/>
  <c r="I90" i="8"/>
  <c r="H90" i="8"/>
  <c r="I85" i="8" l="1"/>
  <c r="H85" i="8"/>
  <c r="I92" i="8"/>
  <c r="I93" i="8"/>
  <c r="I94" i="8"/>
  <c r="I95" i="8"/>
  <c r="I96" i="8"/>
  <c r="I97" i="8"/>
  <c r="I98" i="8"/>
  <c r="I99" i="8"/>
  <c r="I100" i="8"/>
  <c r="H92" i="8" l="1"/>
  <c r="H94" i="8" l="1"/>
  <c r="H93" i="8"/>
  <c r="H95" i="8" l="1"/>
  <c r="H96" i="8" l="1"/>
  <c r="H97" i="8" l="1"/>
  <c r="H98" i="8" l="1"/>
  <c r="H99" i="8" l="1"/>
  <c r="H100" i="8" l="1"/>
  <c r="D2" i="6" l="1"/>
  <c r="G6" i="6" s="1"/>
  <c r="H6" i="6" s="1"/>
  <c r="H18" i="6"/>
  <c r="H19" i="6"/>
  <c r="H20" i="6"/>
  <c r="H21" i="6"/>
  <c r="H27" i="6"/>
  <c r="H28" i="6"/>
  <c r="P24" i="3"/>
  <c r="P3" i="3"/>
  <c r="I3" i="3"/>
  <c r="G11" i="6" l="1"/>
  <c r="H11" i="6" s="1"/>
  <c r="G23" i="6"/>
  <c r="H23" i="6" s="1"/>
  <c r="G8" i="6"/>
  <c r="H8" i="6" s="1"/>
  <c r="G15" i="6"/>
  <c r="H15" i="6" s="1"/>
  <c r="G29" i="6"/>
  <c r="H29" i="6" s="1"/>
  <c r="G5" i="6"/>
  <c r="H5" i="6" s="1"/>
  <c r="G13" i="6"/>
  <c r="H13" i="6" s="1"/>
  <c r="G17" i="6"/>
  <c r="H17" i="6" s="1"/>
  <c r="G25" i="6"/>
  <c r="H25" i="6" s="1"/>
  <c r="G31" i="6"/>
  <c r="H31" i="6" s="1"/>
  <c r="G7" i="6"/>
  <c r="H7" i="6" s="1"/>
  <c r="G9" i="6"/>
  <c r="H9" i="6" s="1"/>
  <c r="G10" i="6"/>
  <c r="H10" i="6" s="1"/>
  <c r="G12" i="6"/>
  <c r="H12" i="6" s="1"/>
  <c r="G14" i="6"/>
  <c r="H14" i="6" s="1"/>
  <c r="G16" i="6"/>
  <c r="H16" i="6" s="1"/>
  <c r="G22" i="6"/>
  <c r="H22" i="6" s="1"/>
  <c r="G24" i="6"/>
  <c r="H24" i="6" s="1"/>
  <c r="G26" i="6"/>
  <c r="H26" i="6" s="1"/>
  <c r="G30" i="6"/>
  <c r="H30" i="6" s="1"/>
  <c r="G32" i="6"/>
  <c r="H32" i="6" s="1"/>
</calcChain>
</file>

<file path=xl/sharedStrings.xml><?xml version="1.0" encoding="utf-8"?>
<sst xmlns="http://schemas.openxmlformats.org/spreadsheetml/2006/main" count="877" uniqueCount="393">
  <si>
    <t>ТГМ-БКС-Т УРБ-2Д3</t>
  </si>
  <si>
    <t>№№</t>
  </si>
  <si>
    <t xml:space="preserve">Наименование техники </t>
  </si>
  <si>
    <t>Комплектность бригады,ФИО</t>
  </si>
  <si>
    <t>КТМ-10В -УБГМ-1А</t>
  </si>
  <si>
    <t>геолог</t>
  </si>
  <si>
    <t>мбу</t>
  </si>
  <si>
    <t>пмбу</t>
  </si>
  <si>
    <t>Чалый Юрий</t>
  </si>
  <si>
    <t>Власов Иван</t>
  </si>
  <si>
    <t>Векшин Андрей</t>
  </si>
  <si>
    <t>Шопарев Эдуард</t>
  </si>
  <si>
    <t>Салимов Равшан</t>
  </si>
  <si>
    <t>Салимов Бахадур</t>
  </si>
  <si>
    <t>Ласкин Александр</t>
  </si>
  <si>
    <t xml:space="preserve">Помошник от Ласкина </t>
  </si>
  <si>
    <t>Силвестр Влад</t>
  </si>
  <si>
    <t xml:space="preserve">Костицин Виталий </t>
  </si>
  <si>
    <t xml:space="preserve">Саяпин Дмитрий </t>
  </si>
  <si>
    <t>Геофизическое Север</t>
  </si>
  <si>
    <t>Геофизическое  ЮГ</t>
  </si>
  <si>
    <t xml:space="preserve">Местоположение </t>
  </si>
  <si>
    <t>Привязка специалистов к техники ПГК До 31.12.2020</t>
  </si>
  <si>
    <t>Кол-во специалстов</t>
  </si>
  <si>
    <t xml:space="preserve">Хорняков Анатолий </t>
  </si>
  <si>
    <t xml:space="preserve">Дубогрей Сергей </t>
  </si>
  <si>
    <t>Подгорный Владимир</t>
  </si>
  <si>
    <t xml:space="preserve">план </t>
  </si>
  <si>
    <t>факт</t>
  </si>
  <si>
    <t>откл</t>
  </si>
  <si>
    <t>№ Вагон-дома</t>
  </si>
  <si>
    <t>ФИО</t>
  </si>
  <si>
    <t>Специалисты</t>
  </si>
  <si>
    <t>Должность</t>
  </si>
  <si>
    <t>Командрский Вагон-дом</t>
  </si>
  <si>
    <t>Расселение специалистов  в лагере Геофизического мд (ЮГ)</t>
  </si>
  <si>
    <t>Мирьяминов Самат</t>
  </si>
  <si>
    <t>НПКИИ</t>
  </si>
  <si>
    <t xml:space="preserve">Чуева Елена  </t>
  </si>
  <si>
    <t>Свободных мест</t>
  </si>
  <si>
    <t>свободных мест</t>
  </si>
  <si>
    <t>всего мест</t>
  </si>
  <si>
    <t>занято</t>
  </si>
  <si>
    <t>Пом. от Салимова</t>
  </si>
  <si>
    <t>ТРЭКОЛ</t>
  </si>
  <si>
    <t>Водитель</t>
  </si>
  <si>
    <t>водитель</t>
  </si>
  <si>
    <t>Вагон дом 2</t>
  </si>
  <si>
    <t>Вагон дом 1</t>
  </si>
  <si>
    <t>Вагон дом 3</t>
  </si>
  <si>
    <t>КК по ИИ</t>
  </si>
  <si>
    <t>Расселение специалистов  в лагере Геофизического мд (Север)</t>
  </si>
  <si>
    <t>Гомзяков Павел</t>
  </si>
  <si>
    <t>геодезист</t>
  </si>
  <si>
    <t xml:space="preserve">Бабиков Алексей </t>
  </si>
  <si>
    <t>Геодезист</t>
  </si>
  <si>
    <t xml:space="preserve">Вагон 3 обсерватор </t>
  </si>
  <si>
    <t xml:space="preserve">Вагон 4 обсерватор </t>
  </si>
  <si>
    <t>Свободное место</t>
  </si>
  <si>
    <t>Безбородов Роман</t>
  </si>
  <si>
    <t xml:space="preserve">Должность  </t>
  </si>
  <si>
    <t>Береженцев</t>
  </si>
  <si>
    <t>Петрович</t>
  </si>
  <si>
    <t>Шагидуллин Руслан</t>
  </si>
  <si>
    <t>Костоломов Станислав</t>
  </si>
  <si>
    <t>Обновленный Вова</t>
  </si>
  <si>
    <t>Иванов И</t>
  </si>
  <si>
    <t xml:space="preserve">Газизов Булат </t>
  </si>
  <si>
    <t>Иванов Игорь</t>
  </si>
  <si>
    <t>Береженцев Сергей</t>
  </si>
  <si>
    <t>Ямщиков Александр</t>
  </si>
  <si>
    <t xml:space="preserve">Данилевич Андрей  </t>
  </si>
  <si>
    <t xml:space="preserve">Техника </t>
  </si>
  <si>
    <t>бур.мастер/водитель</t>
  </si>
  <si>
    <t>бур.мастер</t>
  </si>
  <si>
    <t>Гмырак Павел</t>
  </si>
  <si>
    <t>вакансия</t>
  </si>
  <si>
    <t xml:space="preserve">Водитель </t>
  </si>
  <si>
    <t>Волошин Александр</t>
  </si>
  <si>
    <t>пом.бур</t>
  </si>
  <si>
    <t xml:space="preserve">бур.мастер </t>
  </si>
  <si>
    <t>водитель/пом.бур</t>
  </si>
  <si>
    <t xml:space="preserve">Геолог </t>
  </si>
  <si>
    <t xml:space="preserve">Гыданский ЛУ </t>
  </si>
  <si>
    <t>Утреннее НГКМ</t>
  </si>
  <si>
    <t>Геофизическое  НГКМ</t>
  </si>
  <si>
    <t>ВТ, ЗС</t>
  </si>
  <si>
    <t>п. Сабетта</t>
  </si>
  <si>
    <t>Ежедневная выработка</t>
  </si>
  <si>
    <t>-</t>
  </si>
  <si>
    <t>4*17=68п.м</t>
  </si>
  <si>
    <t xml:space="preserve">Выработка за весь сезон Ноябрь-Апрель </t>
  </si>
  <si>
    <t xml:space="preserve">Привязка специалистов к техники ПГК, Сезонная выработка </t>
  </si>
  <si>
    <t>Селиверстов Владислав</t>
  </si>
  <si>
    <t xml:space="preserve">Казекин Алексей </t>
  </si>
  <si>
    <t xml:space="preserve">Ведерников Алексей </t>
  </si>
  <si>
    <t>Салимзода Бахроми</t>
  </si>
  <si>
    <t xml:space="preserve">Хизовец Андрей </t>
  </si>
  <si>
    <t>Родионов Игорь</t>
  </si>
  <si>
    <t>Ситников Анатолий</t>
  </si>
  <si>
    <t xml:space="preserve">Сухосыров Алексей </t>
  </si>
  <si>
    <t>Болтенков Вадим</t>
  </si>
  <si>
    <t>Исаев Азат</t>
  </si>
  <si>
    <t>Шмитько Егор</t>
  </si>
  <si>
    <t>214 дней.                       Итого: 3040 п.м</t>
  </si>
  <si>
    <t>Татаринов Эдуард</t>
  </si>
  <si>
    <t>Варга Иван</t>
  </si>
  <si>
    <t xml:space="preserve">Мандрыгин Анатолий </t>
  </si>
  <si>
    <t xml:space="preserve">Мандраков </t>
  </si>
  <si>
    <t xml:space="preserve">Казарин Аркадий </t>
  </si>
  <si>
    <t xml:space="preserve">Потапов Сергей </t>
  </si>
  <si>
    <t>Ковальчук Максим</t>
  </si>
  <si>
    <t xml:space="preserve">Юшкин  Андрей </t>
  </si>
  <si>
    <t xml:space="preserve">Обновленный </t>
  </si>
  <si>
    <t xml:space="preserve">Федосеев </t>
  </si>
  <si>
    <t>Подгорнов Владимир</t>
  </si>
  <si>
    <t xml:space="preserve">Место работ </t>
  </si>
  <si>
    <t>Обновленный Владимир</t>
  </si>
  <si>
    <t xml:space="preserve">Федосеев Павел </t>
  </si>
  <si>
    <t xml:space="preserve">Бурильщик </t>
  </si>
  <si>
    <t>Геолог</t>
  </si>
  <si>
    <t>Тамбейское НГКМ</t>
  </si>
  <si>
    <t>Вакансия</t>
  </si>
  <si>
    <t xml:space="preserve">Задача Полевых специалистов </t>
  </si>
  <si>
    <t>Заезд в Обсерватор</t>
  </si>
  <si>
    <t xml:space="preserve">Геофизик </t>
  </si>
  <si>
    <t>пом.геофизика</t>
  </si>
  <si>
    <t xml:space="preserve">Тамбейское НГКМ Нейтинское, Арктическое </t>
  </si>
  <si>
    <t>1. Геокриологическая съемка.                       2. Геофизическое исследование                     3. Поиск карьера песка в кол-ве-2шт.                                                              4. Бурение 3ех разведочных СКВ</t>
  </si>
  <si>
    <t>Водитель/пом.геофизика</t>
  </si>
  <si>
    <t xml:space="preserve">Специалисты на Ямальский п-в </t>
  </si>
  <si>
    <t>Матвеев Александр</t>
  </si>
  <si>
    <t>Тюльков Александр</t>
  </si>
  <si>
    <t>пом.геодезиста</t>
  </si>
  <si>
    <t>Адамов Виктор</t>
  </si>
  <si>
    <t xml:space="preserve">Кошапов Альберт </t>
  </si>
  <si>
    <t xml:space="preserve">Кошапов Дмитрий </t>
  </si>
  <si>
    <t xml:space="preserve">Варга Иван </t>
  </si>
  <si>
    <t xml:space="preserve">Бур.мастер </t>
  </si>
  <si>
    <t>пом.бурильщика</t>
  </si>
  <si>
    <t>Геофизическое НГКМ (район п.Тадебя-Яха)</t>
  </si>
  <si>
    <t xml:space="preserve">Юшкин Андрей </t>
  </si>
  <si>
    <t>Бур.мастер</t>
  </si>
  <si>
    <t xml:space="preserve">Береженцев Сергей </t>
  </si>
  <si>
    <t>Федосеев Павел</t>
  </si>
  <si>
    <t>ПЕТРОВИЧ</t>
  </si>
  <si>
    <t>Мандраков Денис</t>
  </si>
  <si>
    <t>Дубогрей Сергей</t>
  </si>
  <si>
    <t>геофизик</t>
  </si>
  <si>
    <t>Дата появления на объекте</t>
  </si>
  <si>
    <t>Дата выезда с объекта</t>
  </si>
  <si>
    <t xml:space="preserve">Кол-Во дней </t>
  </si>
  <si>
    <t>Кузьмин Денис</t>
  </si>
  <si>
    <t>Станислав</t>
  </si>
  <si>
    <t>Нечаев Дмитрий</t>
  </si>
  <si>
    <t>Беспалов  Сергей</t>
  </si>
  <si>
    <t>Меркушов Андрей</t>
  </si>
  <si>
    <t>Хорняков Толя</t>
  </si>
  <si>
    <t>Фисун Дмитрий</t>
  </si>
  <si>
    <t>Денисов Саша</t>
  </si>
  <si>
    <t>Рабочий</t>
  </si>
  <si>
    <t>Нач партии</t>
  </si>
  <si>
    <t>Электрик</t>
  </si>
  <si>
    <t>Помбур</t>
  </si>
  <si>
    <t xml:space="preserve">Родионов Игорь </t>
  </si>
  <si>
    <t>Сайтмаметов Камиль</t>
  </si>
  <si>
    <t>Дизелист</t>
  </si>
  <si>
    <t xml:space="preserve">в тюмени </t>
  </si>
  <si>
    <t>Искаков Денис</t>
  </si>
  <si>
    <t>Бурмастер</t>
  </si>
  <si>
    <t>критично</t>
  </si>
  <si>
    <t>терпимо</t>
  </si>
  <si>
    <t>норма</t>
  </si>
  <si>
    <t>на дату:</t>
  </si>
  <si>
    <t xml:space="preserve">Список специалистов находящихся </t>
  </si>
  <si>
    <t>№</t>
  </si>
  <si>
    <t>Примечания</t>
  </si>
  <si>
    <t xml:space="preserve">Ф.И.О Специалистов ПГК </t>
  </si>
  <si>
    <t xml:space="preserve">Должность </t>
  </si>
  <si>
    <t>Местоположение</t>
  </si>
  <si>
    <t>Денисов Александр</t>
  </si>
  <si>
    <t>Басов Иван</t>
  </si>
  <si>
    <t>ПМБУ</t>
  </si>
  <si>
    <t>МБУ</t>
  </si>
  <si>
    <t xml:space="preserve">Исаев Азат </t>
  </si>
  <si>
    <t>Кашапов Альберт</t>
  </si>
  <si>
    <t xml:space="preserve">Абсотаров Родион </t>
  </si>
  <si>
    <t>Водитель ТРЭКОЛ</t>
  </si>
  <si>
    <t xml:space="preserve">Малыгин Денис </t>
  </si>
  <si>
    <t xml:space="preserve">Васильев Виталий </t>
  </si>
  <si>
    <t xml:space="preserve">Терещенко Александр </t>
  </si>
  <si>
    <t>Ягин Олег</t>
  </si>
  <si>
    <t>Нач.партии</t>
  </si>
  <si>
    <t>Дата начала командировки</t>
  </si>
  <si>
    <t>Дата выезда</t>
  </si>
  <si>
    <t>Продолжительность отдыха, дней</t>
  </si>
  <si>
    <t>Тренихин Дмитрий</t>
  </si>
  <si>
    <t>Продолжительность командировки, дней</t>
  </si>
  <si>
    <t>Дроздецкий Алексей</t>
  </si>
  <si>
    <t>Дома</t>
  </si>
  <si>
    <t>Бутаков Даниил</t>
  </si>
  <si>
    <t>Латышев Павел</t>
  </si>
  <si>
    <t>Козодоев Дмитрий</t>
  </si>
  <si>
    <t xml:space="preserve">Высшее </t>
  </si>
  <si>
    <t xml:space="preserve">Толмачев Игорь </t>
  </si>
  <si>
    <t>Панафидин Сергей</t>
  </si>
  <si>
    <t>Керпач Олег</t>
  </si>
  <si>
    <t>Андреев Иван</t>
  </si>
  <si>
    <t>Сало Алексей</t>
  </si>
  <si>
    <t>Камзинов Данияр</t>
  </si>
  <si>
    <t>Сунгуров Иван</t>
  </si>
  <si>
    <t>Колесов Анатолий</t>
  </si>
  <si>
    <t>Свиридов Илья</t>
  </si>
  <si>
    <t>Прошкин Сергей</t>
  </si>
  <si>
    <t>Холкин Сергей</t>
  </si>
  <si>
    <t xml:space="preserve">Парамонов Виктор </t>
  </si>
  <si>
    <t>Тренихин Андрей</t>
  </si>
  <si>
    <t>Разаков Алибек</t>
  </si>
  <si>
    <t>Подсобный рабочий (помощник геодезиста)</t>
  </si>
  <si>
    <t>Щетков Андрей</t>
  </si>
  <si>
    <t>Рогозин Владимир</t>
  </si>
  <si>
    <t xml:space="preserve">Подсобный рабочий </t>
  </si>
  <si>
    <t>Гусельников Станислав</t>
  </si>
  <si>
    <t>Юшкевич Евгений</t>
  </si>
  <si>
    <t>Арефьев Станислав</t>
  </si>
  <si>
    <t>Елфимов Тимофей</t>
  </si>
  <si>
    <t>Арасланов Вилли</t>
  </si>
  <si>
    <t>Гыданский (Карьер 1Г)</t>
  </si>
  <si>
    <t xml:space="preserve">ПМБУ </t>
  </si>
  <si>
    <t>Видергольд Александр</t>
  </si>
  <si>
    <t>Козлов Дмитрий</t>
  </si>
  <si>
    <t>Ковригин Кирилл</t>
  </si>
  <si>
    <t>Васильев Стас</t>
  </si>
  <si>
    <t xml:space="preserve">Водитель ТРЭКОЛ </t>
  </si>
  <si>
    <t>Халин Игорь</t>
  </si>
  <si>
    <t>Механик</t>
  </si>
  <si>
    <t>Нурпиисов Андрей</t>
  </si>
  <si>
    <t xml:space="preserve">Колохматов Иван </t>
  </si>
  <si>
    <t xml:space="preserve">Суворов Константин </t>
  </si>
  <si>
    <t>Подсобный рабочий</t>
  </si>
  <si>
    <t>Рахматов Михаил</t>
  </si>
  <si>
    <t>Водитель СеверЭнерго</t>
  </si>
  <si>
    <t>Бахарев Владимир</t>
  </si>
  <si>
    <t>Артемьев Геннадий</t>
  </si>
  <si>
    <t>Соболев Александр</t>
  </si>
  <si>
    <t>Гаев Павел</t>
  </si>
  <si>
    <t>Филимонов Александр</t>
  </si>
  <si>
    <t>Выезд 19.03. Дома 14.05.</t>
  </si>
  <si>
    <t>Козликин Алексей</t>
  </si>
  <si>
    <t xml:space="preserve">Герцев Андрей </t>
  </si>
  <si>
    <t>Дома 27.12.Выехал на Паюту 16.04. Дома 06.05. Заезд 21.05. Дома 29.05</t>
  </si>
  <si>
    <t>Криволапов Николай</t>
  </si>
  <si>
    <t>Усолкин Михаил</t>
  </si>
  <si>
    <t>Мальцев Валерий</t>
  </si>
  <si>
    <t>Бурмистров Евгений</t>
  </si>
  <si>
    <t xml:space="preserve">Ильюхин Виктор </t>
  </si>
  <si>
    <t>Емельянов Тимур</t>
  </si>
  <si>
    <t>Выезд на Гыдан 09.01.25. Дома с 01.05. Выезд на Тсиб. Дома 07.07</t>
  </si>
  <si>
    <t>Семенов Дмитрий</t>
  </si>
  <si>
    <t>Горбушин Егор</t>
  </si>
  <si>
    <t>Филатов Владимир</t>
  </si>
  <si>
    <t xml:space="preserve"> Выезд на Сабетту 22.06.24. Дома 26.10.24. Выезд 02.04. Дома 16.07</t>
  </si>
  <si>
    <t>Дома 27.12. Вылет на Сбт 12.07. Дома 06.08</t>
  </si>
  <si>
    <t>Рагулин Евгений</t>
  </si>
  <si>
    <t>Ащеулов Федор</t>
  </si>
  <si>
    <t>Жгельский Иван</t>
  </si>
  <si>
    <t xml:space="preserve">Виноградов Павел </t>
  </si>
  <si>
    <t>Шмыков Антон</t>
  </si>
  <si>
    <t>Ахметшин Радик</t>
  </si>
  <si>
    <t>Палаухин Семен</t>
  </si>
  <si>
    <t>На Сбт 08.03. Дома 20.05.С 24.07 на ЗНГКМ. Дома 01.09</t>
  </si>
  <si>
    <t>Зольников Андрей</t>
  </si>
  <si>
    <t>Передерин Роман</t>
  </si>
  <si>
    <t xml:space="preserve">Шестаков Михаил </t>
  </si>
  <si>
    <t>Материкин Виктор</t>
  </si>
  <si>
    <t>В тарко-сале ремонт техники 25.06. Дома 09.07. Выезд на ЗНГКМ 23.07. Дома на 08.09</t>
  </si>
  <si>
    <t>Щербаков Валерий</t>
  </si>
  <si>
    <t xml:space="preserve">Арманшин Денис </t>
  </si>
  <si>
    <t>Выезд на Тсиб (на подряде)</t>
  </si>
  <si>
    <t>Анисимов Антон</t>
  </si>
  <si>
    <t>Выезд на Сбт 13.08. Дома 17.09</t>
  </si>
  <si>
    <t>Иштакбаев Азат</t>
  </si>
  <si>
    <t>Брызгин Евгений</t>
  </si>
  <si>
    <t>Рахно Олег</t>
  </si>
  <si>
    <t>Дрожжилов Виталий</t>
  </si>
  <si>
    <t>Выезд на Гыдан 06.04.  Дома 09.06. На Сбт 19.07. Дома 01.10</t>
  </si>
  <si>
    <t xml:space="preserve"> Дома с 30.04. с 01.07 на Сбт. Дома 03.08. На Сбт 23.08. Дома 01.10</t>
  </si>
  <si>
    <t>На Сбт 16.04.Дома 28.05. выезд ЗНГКМ 28.07. Дома 05.10</t>
  </si>
  <si>
    <t>Выезд на Тсиб 11.08. Дома 11.09. Выезд на Тсиб 16.09. Дома 07.10</t>
  </si>
  <si>
    <t>Зазед Тсиб 21.05. Дома 09.10</t>
  </si>
  <si>
    <t>Дома 25.05. Вылетел на Гыдан 30.10.Дома 29.05. Выезд на Гыдан 14.10</t>
  </si>
  <si>
    <t>Выезд на Салман 25.01. Дома 14.05. Выезд на Гыдан 20.06. Дома на 18.10</t>
  </si>
  <si>
    <t xml:space="preserve"> Дома с 30.06.Выезд на Гыдан 21.08. Переезд на ЗНГКМ с 25.09.Дома 22.10</t>
  </si>
  <si>
    <t>Авалбоев Жамолиддин</t>
  </si>
  <si>
    <t>Выезд на Тсиб 16.09. Дома 12.11</t>
  </si>
  <si>
    <t xml:space="preserve">Выезд на Тсиб 16.07. Дома 12.11 </t>
  </si>
  <si>
    <t>Выезд на Тсиб 24.09. Дома 29.11</t>
  </si>
  <si>
    <t>Выезд на Тсиб 26.08. Дома 10.12</t>
  </si>
  <si>
    <t>Выезд на Тсиб 30.10. Дома 10.12</t>
  </si>
  <si>
    <t>Лагунов Павел</t>
  </si>
  <si>
    <t>Выезд на Тсиб 06.10. Дома 16.12</t>
  </si>
  <si>
    <t>Выезд на Тсиб  17.06. Дома 18.07.Выезд на Тсиб 11.08. Дома 07.10. На Тсиб 15.12. Дома 23.12</t>
  </si>
  <si>
    <t>На Гыдан 04.08. План на 26.09.Выезд на Гыду 20.11.Дома 25.12</t>
  </si>
  <si>
    <t xml:space="preserve"> Выелет 28.09. Дома 30.10. с 01.07 на Сбт. Дома 17.09.На Сбт 08.11. Дома 27.12</t>
  </si>
  <si>
    <t>Выезд на Тсиб 11.08. Дома 13.10.На Тсиб 17.11.  Дома 24.12</t>
  </si>
  <si>
    <t>Выезд на Тсиб 25.07.Дома 09.10.Выезд на Тсиб 06.11.Дома 24.12</t>
  </si>
  <si>
    <t>Няхарта</t>
  </si>
  <si>
    <t>Парма/Няхарта</t>
  </si>
  <si>
    <t>На Гыдан 04.08. План на 26.09.Выезд на Гыду 20.11.Дома 25.12. На Няхарт 06.02</t>
  </si>
  <si>
    <t>Выезд на Антипаюту 17.07. Дома 26.10. С 24.07 на ЗНГКМ. Дома 03.10. На Няхарт 05.02</t>
  </si>
  <si>
    <t xml:space="preserve"> Выезд на 27.04. Дома 29.05. С 24.07 на ЗНГКМ. Дома 12.09. На Няхарт 05.02</t>
  </si>
  <si>
    <t>Дома с 09.04. Выезд из Тюмени 17.04. Дома 27.04.Выезд на ЗНГКМ 07.09.Дома 09.10. На Няхарт 04.02</t>
  </si>
  <si>
    <t>Дома 29.05.  Вылет на Сбт 12.07. Дома 06.08. Выезд на ЗНГКМ 07.09. Дома 09.10.На Няхарт 04.02</t>
  </si>
  <si>
    <t>Заезд 26.04. Дома 28.05. На Сбт 20.08.Дома 25.10.  На Сбт 12.11. Дома 27.12.На Няхарт 04.02</t>
  </si>
  <si>
    <t>Заезд 26.04. Дома 28.05. На Сбт 20.08.Дома 25.10. На Сбт 12.11. Дома 27.12.На Няхарт 04.02</t>
  </si>
  <si>
    <t xml:space="preserve"> На сбт 20.08.Дома 25.10.На Сбт 18.11. Дома 27.12. Выезд няхарта 09.02.</t>
  </si>
  <si>
    <t xml:space="preserve"> Выезд из Тюмени 17.04. Дома 27.04. Заезд 21.05. Дома 29.05. Выезд няхарта 09.02.</t>
  </si>
  <si>
    <t>.Заезд Сбт 06.08. Дома 13.09/На Сбт 17.11. Дома 29.11.Выезд няхарта 09.02.</t>
  </si>
  <si>
    <t xml:space="preserve"> На Сбт 20.08. Дома 18.09. На Сбт 08.11. Дома 27.12.Выезд на СБТ 09.02.</t>
  </si>
  <si>
    <t>Дома 05.03. На СБТ 04.06. Дома 18.09. Выезд на Сбт 25.10. Дома 25.12.Выезд на СБТ 09.02.</t>
  </si>
  <si>
    <t>дома 24.05.  Вылет на Сбт 12.07. Дома 13.09.На Сбт 18.11. Дома 27.12.Выезд на СБТ 09.02.</t>
  </si>
  <si>
    <t>Выезд Тсиб 15.05. Дома 10.07.Выезд на Тсиб 08.08. Дома 15.12.На Тсиб 14.01. Дома 06.02</t>
  </si>
  <si>
    <t xml:space="preserve">Волошин Александр </t>
  </si>
  <si>
    <t xml:space="preserve">.Дома 10.10. С 12.12 выезд парма. Дома 21.12.Выезд Няхарта 11.02 </t>
  </si>
  <si>
    <t xml:space="preserve">Дома 24.12. Выезд на м/р 07.03. Выезд на Тсиб 03.06. Дома 11.10.Выезд Няхарта 11.02 </t>
  </si>
  <si>
    <t>Выезд Няхарта 11.02</t>
  </si>
  <si>
    <t>Дома 03.08. Выезд на Сбт 05.09. Дома 01.10. Выезд на Сбт 25.10. Дома 27.12. Выезд Няхарта 11.02</t>
  </si>
  <si>
    <t>Дома с 26.06 с Гыдана. Выезд на Гыдан 14.09. Дома 25.11. На Гыдан 24.01. Дома 06.02</t>
  </si>
  <si>
    <t>Шарабрин Сергей</t>
  </si>
  <si>
    <t>Сергеев Борис</t>
  </si>
  <si>
    <t xml:space="preserve">Выезд на Гыдан 12.02. </t>
  </si>
  <si>
    <t xml:space="preserve"> Дома 05.10. С 11.12 выезд парма.Дома 22.12.На Парму 26.01-переезд на Няхарт 11.02</t>
  </si>
  <si>
    <t xml:space="preserve"> Дома 28.09.На Парму 26.01-переезд на Няхарт 11.02</t>
  </si>
  <si>
    <t xml:space="preserve"> С 11.12 выезд парма.Дома 22.12. На Парму 26.01-переезд на Няхарт 11.02</t>
  </si>
  <si>
    <t>Дома 22.10.На Тсиб 24.11. Дома 22.12. Парма с 20.01-переезд на Няхарт 11.02</t>
  </si>
  <si>
    <t>Выезд на Тсиб 08.09. Дома 03.11. На Тсиб 15.12. Дома 23.12.На Тсиб 15.01. Дома 16.02</t>
  </si>
  <si>
    <t>Дома 06.09.Выезд на Тсиб 22.10.Дома 30.10.На Тсиб 17.11Дома 24.12. На Тсиб 15.01. Дома 16.02</t>
  </si>
  <si>
    <t>Выезд Харбей 10.08. Дома 18.08. Выезд 01.10 на скв.325.Дома 10.10. На Няхарт 12.02</t>
  </si>
  <si>
    <t>Выезд на Тсиб 11.08.Дома 15.10.Выезд на Тсиб 06.11.Дома 24.12.На Тсиб 15.01. Дома 19.02</t>
  </si>
  <si>
    <t>Тюльков Виталий</t>
  </si>
  <si>
    <t>Выезд На Тсиб 14.01. Дома 28.02</t>
  </si>
  <si>
    <t>Кашапов Дмитрий</t>
  </si>
  <si>
    <t>Бондаренко Евгений</t>
  </si>
  <si>
    <t xml:space="preserve">Васильев Андрей </t>
  </si>
  <si>
    <t>На Сбт 04.03.</t>
  </si>
  <si>
    <t>Дома 04.10. Выезд на Тсиб 06.10.Дома 15.12. На Тсиб 20.01. Дома план 04.03</t>
  </si>
  <si>
    <t>Дома 30.10. На Тсиб 21.11.Дома 26.12.На Тсиб 15.01. Дома 05.03</t>
  </si>
  <si>
    <t>Выезд на Тсиб 11.08.Дома 09.10.На Тсиб 19.11. Дома 24.12.На Тсиб 15.01.Дома 05.03</t>
  </si>
  <si>
    <t>Выезд на Тсиб 16.09.Дома 01.11.На Тсиб 19.11.Дома 24.12.На Тсиб 15.01. Дома 05.03</t>
  </si>
  <si>
    <t>Выезд на Тсиб 02.09. Дома 10.12.На Тсиб 20.01.Дома 05.03</t>
  </si>
  <si>
    <t xml:space="preserve"> Дома 28.07.Выезд на Тсиб 20.08.Дома 15.12.На Тсиб 14.01.Дома 05.03</t>
  </si>
  <si>
    <t>Выезд на Тсиб 26.08. Дома 10.12.На Тсиб 14.01.Дома  05.03</t>
  </si>
  <si>
    <t>15.01 на Тсиб. Дома 05.03</t>
  </si>
  <si>
    <t>Выезд на Тсиб 16.09. Дома 23.12.На Тсиб 14.01.Дома 05.03</t>
  </si>
  <si>
    <t>Дома 08.10 . На Тсиб 21.11.Дома 26.12. На Тсиб 14.01.Дома 05.03</t>
  </si>
  <si>
    <t xml:space="preserve"> Выезд на Тсиб 14.07. Дома 03.09.Выезд на Тсиб 05.11.Дома 24.12.Тсиб 19.01. Дома 06.03</t>
  </si>
  <si>
    <t>Выезд на Тсиб 11.08.Дома 15.10.Выезд на Тсиб 06.11.Дома 24.12. Тсиб 19.01.Дома 06.03</t>
  </si>
  <si>
    <t>Дома 13.07.Выезд на Тсиб 11.08.Дома 15.10. На Тсиб 19.01.Дома 06.03</t>
  </si>
  <si>
    <t xml:space="preserve"> Дома 07.07. Выезд на Тсиб 15.08. Дома 12.10.На Тсиб 19.11.Дома 24.12.На Тсиб 15.01.Дома 06.03</t>
  </si>
  <si>
    <t>Выезд на тсиб 22.07. Дома 04.09. Выезд на Тсиб 24.09. Дома 13.11.На Тсиб 15.01.Дома 05.03</t>
  </si>
  <si>
    <t xml:space="preserve"> Дома 12.04. Заезд на Салман 14.05. Дома 17.09. На Салман 14.12. Дома 27.02</t>
  </si>
  <si>
    <t>Сажин Сергей</t>
  </si>
  <si>
    <t xml:space="preserve">Выезд на Гыдан 10.03. </t>
  </si>
  <si>
    <t>Дома 25.09. На Тсиб 21.11. Дома 27.11.На Тсиб 20.01.Дома 04.03. Выезд на Няхарт 11.03</t>
  </si>
  <si>
    <t>Дома 20.09. Выезд на Тсиб 09.10.  Дома 27.11.На Тсиб 20.0.Дома 04.03.Выезд на Няхарт 12.03</t>
  </si>
  <si>
    <t>Дома 10.08. Выезд ЗНГКМ 29.09.Дома 22.10. на Сбт 25.10. Дома 22.12.Выезд на Няхарт 12.03</t>
  </si>
  <si>
    <t>Дома с 02.05.Выезд на Гыдан 20.06. дома на 18.09.Выезд на Гыду 20.11. Дома 15.03</t>
  </si>
  <si>
    <t>На Тсиб 24.11. Дома 22.12. Парма с 19.01-переезд на Няхарт 11.02. Дома 15.03</t>
  </si>
  <si>
    <t xml:space="preserve"> Выезд на Тсиб 02.09. Дома 15.10. На Тсиб 17.11. Дома 24.12. На Няхарт 04.02. Дома 17.03</t>
  </si>
  <si>
    <t>Хакимуллин Ришат</t>
  </si>
  <si>
    <t>На СБт 11.03</t>
  </si>
  <si>
    <t xml:space="preserve">Солин Андрей </t>
  </si>
  <si>
    <t xml:space="preserve">Феллер Андрей </t>
  </si>
  <si>
    <t>Филенко Денис</t>
  </si>
  <si>
    <t>Андриенко Виталий</t>
  </si>
  <si>
    <t>Выезд на ВСГ 23.03</t>
  </si>
  <si>
    <t>Выезд на ВСГ 25.03</t>
  </si>
  <si>
    <t>На Тсиб 21.11.Дома 26.12. На Тсиб 15.01.Дома 05.03. Выезд на ВСГ 23.03</t>
  </si>
  <si>
    <t>Дома 09.10.На Тсиб 13.01.Дома 05.03. Выезд на ВСГ 25.03</t>
  </si>
  <si>
    <t>Мыс Каменный</t>
  </si>
  <si>
    <t>Мальков Никита</t>
  </si>
  <si>
    <t>Выезд на Мыс 25.03</t>
  </si>
  <si>
    <t>Выезд на Гыдан 06.04 Дома 29.05. Выезд на Тсиб 23.07. Дома 31.10.Выезд няхарта 09.02. Дома 02.04</t>
  </si>
  <si>
    <t>Выезд на Мыс 01.04</t>
  </si>
  <si>
    <t>Карьеры Уренгой</t>
  </si>
  <si>
    <t>Балышев Михаил</t>
  </si>
  <si>
    <t>15.01 на Тсиб. Дома 05.03. Выезд 01.04 на Уренгой</t>
  </si>
  <si>
    <t>Зазед Тсиб 21.05. Дома 09.10. Выезд 02.04 на Уренгой</t>
  </si>
  <si>
    <t>Выезд 02.04 на Уренгой</t>
  </si>
  <si>
    <t>Юрхар</t>
  </si>
  <si>
    <t>Статус</t>
  </si>
  <si>
    <t>В работе</t>
  </si>
  <si>
    <t>Суммарный объём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</si>
</sst>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trike/>
      <sz val="11"/>
      <color theme="1"/>
      <name val="Times New Roman"/>
      <family val="1"/>
      <charset val="204"/>
    </font>
    <font>
      <u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8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theme="8" tint="-0.249977111117893"/>
      <name val="Times New Roman"/>
      <family val="1"/>
      <charset val="204"/>
    </font>
    <font>
      <b/>
      <i/>
      <sz val="11"/>
      <color theme="8" tint="-0.249977111117893"/>
      <name val="Times New Roman"/>
      <family val="1"/>
      <charset val="204"/>
    </font>
    <font>
      <b/>
      <sz val="11"/>
      <color theme="8" tint="-0.249977111117893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9">
    <xf numFmtId="0" fontId="0" fillId="0" borderId="0" xfId="0"/>
    <xf numFmtId="0" fontId="7" fillId="0" borderId="0" xfId="1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/>
    <xf numFmtId="0" fontId="7" fillId="0" borderId="3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2" borderId="15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5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0" borderId="29" xfId="0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/>
    </xf>
    <xf numFmtId="0" fontId="6" fillId="8" borderId="7" xfId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7" fillId="0" borderId="46" xfId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/>
    </xf>
    <xf numFmtId="0" fontId="0" fillId="0" borderId="53" xfId="0" applyBorder="1"/>
    <xf numFmtId="0" fontId="0" fillId="0" borderId="56" xfId="0" applyBorder="1"/>
    <xf numFmtId="0" fontId="6" fillId="9" borderId="48" xfId="0" applyFont="1" applyFill="1" applyBorder="1" applyAlignment="1">
      <alignment horizontal="center" vertical="center"/>
    </xf>
    <xf numFmtId="0" fontId="6" fillId="9" borderId="58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9" borderId="52" xfId="0" applyFont="1" applyFill="1" applyBorder="1" applyAlignment="1">
      <alignment horizontal="center" vertical="center"/>
    </xf>
    <xf numFmtId="0" fontId="6" fillId="9" borderId="55" xfId="0" applyFont="1" applyFill="1" applyBorder="1" applyAlignment="1">
      <alignment horizontal="center" vertical="center"/>
    </xf>
    <xf numFmtId="0" fontId="6" fillId="9" borderId="53" xfId="0" applyFont="1" applyFill="1" applyBorder="1" applyAlignment="1">
      <alignment horizontal="center" vertical="center"/>
    </xf>
    <xf numFmtId="0" fontId="6" fillId="9" borderId="56" xfId="0" applyFont="1" applyFill="1" applyBorder="1" applyAlignment="1">
      <alignment horizontal="center" vertical="center"/>
    </xf>
    <xf numFmtId="0" fontId="6" fillId="9" borderId="47" xfId="0" applyFont="1" applyFill="1" applyBorder="1" applyAlignment="1">
      <alignment horizontal="center" vertical="center"/>
    </xf>
    <xf numFmtId="0" fontId="6" fillId="9" borderId="60" xfId="0" applyFont="1" applyFill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9" borderId="57" xfId="0" applyFont="1" applyFill="1" applyBorder="1" applyAlignment="1">
      <alignment horizontal="center" vertical="center"/>
    </xf>
    <xf numFmtId="0" fontId="6" fillId="0" borderId="52" xfId="0" applyFont="1" applyBorder="1" applyAlignment="1">
      <alignment vertical="center"/>
    </xf>
    <xf numFmtId="0" fontId="6" fillId="0" borderId="55" xfId="1" applyFont="1" applyBorder="1" applyAlignment="1">
      <alignment horizontal="center" vertical="center" wrapText="1"/>
    </xf>
    <xf numFmtId="0" fontId="6" fillId="7" borderId="52" xfId="0" applyFont="1" applyFill="1" applyBorder="1" applyAlignment="1">
      <alignment horizontal="center" vertical="center"/>
    </xf>
    <xf numFmtId="0" fontId="6" fillId="7" borderId="55" xfId="0" applyFont="1" applyFill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5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47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65" xfId="1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/>
    </xf>
    <xf numFmtId="0" fontId="6" fillId="0" borderId="54" xfId="1" applyFont="1" applyBorder="1" applyAlignment="1">
      <alignment horizontal="center" vertical="center" wrapText="1"/>
    </xf>
    <xf numFmtId="0" fontId="6" fillId="7" borderId="55" xfId="1" applyFont="1" applyFill="1" applyBorder="1" applyAlignment="1">
      <alignment horizontal="center" vertical="center" wrapText="1"/>
    </xf>
    <xf numFmtId="0" fontId="6" fillId="8" borderId="55" xfId="1" applyFont="1" applyFill="1" applyBorder="1" applyAlignment="1">
      <alignment horizontal="center" vertical="center" wrapText="1"/>
    </xf>
    <xf numFmtId="0" fontId="6" fillId="8" borderId="56" xfId="1" applyFont="1" applyFill="1" applyBorder="1" applyAlignment="1">
      <alignment horizontal="center" vertical="center" wrapText="1"/>
    </xf>
    <xf numFmtId="0" fontId="6" fillId="8" borderId="67" xfId="0" applyFont="1" applyFill="1" applyBorder="1" applyAlignment="1">
      <alignment horizontal="center" vertical="center"/>
    </xf>
    <xf numFmtId="0" fontId="6" fillId="8" borderId="61" xfId="0" applyFont="1" applyFill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10" fillId="8" borderId="55" xfId="1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61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61" xfId="0" applyFont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8" xfId="1" applyFont="1" applyBorder="1" applyAlignment="1">
      <alignment horizontal="center" vertical="center" wrapText="1"/>
    </xf>
    <xf numFmtId="0" fontId="7" fillId="0" borderId="70" xfId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4" fontId="7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4" fontId="7" fillId="9" borderId="7" xfId="0" applyNumberFormat="1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14" fontId="7" fillId="10" borderId="13" xfId="0" applyNumberFormat="1" applyFont="1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6" fillId="9" borderId="1" xfId="1" applyFont="1" applyFill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0" fontId="6" fillId="0" borderId="48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4" fontId="7" fillId="9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6" fillId="10" borderId="7" xfId="1" applyFont="1" applyFill="1" applyBorder="1" applyAlignment="1">
      <alignment horizontal="center" vertical="center" wrapText="1"/>
    </xf>
    <xf numFmtId="14" fontId="7" fillId="10" borderId="7" xfId="0" applyNumberFormat="1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/>
    </xf>
    <xf numFmtId="0" fontId="6" fillId="9" borderId="13" xfId="1" applyFont="1" applyFill="1" applyBorder="1" applyAlignment="1">
      <alignment horizontal="center" vertical="center" wrapText="1"/>
    </xf>
    <xf numFmtId="14" fontId="7" fillId="9" borderId="13" xfId="0" applyNumberFormat="1" applyFont="1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14" fontId="7" fillId="9" borderId="8" xfId="0" applyNumberFormat="1" applyFont="1" applyFill="1" applyBorder="1" applyAlignment="1">
      <alignment horizontal="center" vertical="center"/>
    </xf>
    <xf numFmtId="14" fontId="7" fillId="9" borderId="8" xfId="0" applyNumberFormat="1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4" fontId="7" fillId="5" borderId="5" xfId="0" applyNumberFormat="1" applyFont="1" applyFill="1" applyBorder="1" applyAlignment="1">
      <alignment horizontal="center" vertical="center"/>
    </xf>
    <xf numFmtId="14" fontId="7" fillId="5" borderId="5" xfId="0" applyNumberFormat="1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6" fillId="0" borderId="69" xfId="0" applyFont="1" applyBorder="1"/>
    <xf numFmtId="14" fontId="12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vertical="center" wrapText="1"/>
      <protection locked="0"/>
    </xf>
    <xf numFmtId="0" fontId="0" fillId="0" borderId="11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/>
    <xf numFmtId="0" fontId="6" fillId="11" borderId="0" xfId="0" applyFont="1" applyFill="1"/>
    <xf numFmtId="0" fontId="7" fillId="0" borderId="4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6" fillId="0" borderId="0" xfId="0" applyNumberFormat="1" applyFont="1" applyAlignment="1">
      <alignment textRotation="45"/>
    </xf>
    <xf numFmtId="0" fontId="7" fillId="0" borderId="0" xfId="0" applyFont="1" applyAlignment="1">
      <alignment horizontal="center" vertical="center" wrapText="1"/>
    </xf>
    <xf numFmtId="16" fontId="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vertical="center" wrapText="1"/>
    </xf>
    <xf numFmtId="14" fontId="7" fillId="11" borderId="0" xfId="0" applyNumberFormat="1" applyFont="1" applyFill="1" applyAlignment="1">
      <alignment horizontal="center" vertical="center"/>
    </xf>
    <xf numFmtId="1" fontId="6" fillId="11" borderId="0" xfId="0" applyNumberFormat="1" applyFont="1" applyFill="1" applyAlignment="1">
      <alignment horizontal="center"/>
    </xf>
    <xf numFmtId="1" fontId="6" fillId="11" borderId="0" xfId="0" applyNumberFormat="1" applyFont="1" applyFill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18" fillId="0" borderId="2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/>
    </xf>
    <xf numFmtId="1" fontId="25" fillId="0" borderId="1" xfId="0" applyNumberFormat="1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16" fontId="7" fillId="0" borderId="7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4" fontId="33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/>
    </xf>
    <xf numFmtId="1" fontId="34" fillId="0" borderId="1" xfId="0" applyNumberFormat="1" applyFont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33" fillId="11" borderId="6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/>
    </xf>
    <xf numFmtId="16" fontId="33" fillId="0" borderId="47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3" fillId="0" borderId="6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/>
    </xf>
    <xf numFmtId="1" fontId="35" fillId="0" borderId="1" xfId="0" applyNumberFormat="1" applyFont="1" applyBorder="1" applyAlignment="1">
      <alignment horizontal="center" vertical="center"/>
    </xf>
    <xf numFmtId="0" fontId="37" fillId="0" borderId="7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6" fontId="7" fillId="0" borderId="47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14" fontId="33" fillId="11" borderId="1" xfId="0" applyNumberFormat="1" applyFont="1" applyFill="1" applyBorder="1" applyAlignment="1">
      <alignment horizontal="center" vertical="center"/>
    </xf>
    <xf numFmtId="1" fontId="34" fillId="11" borderId="1" xfId="0" applyNumberFormat="1" applyFont="1" applyFill="1" applyBorder="1" applyAlignment="1">
      <alignment horizontal="center"/>
    </xf>
    <xf numFmtId="1" fontId="34" fillId="11" borderId="1" xfId="0" applyNumberFormat="1" applyFont="1" applyFill="1" applyBorder="1" applyAlignment="1">
      <alignment horizontal="center" vertical="center"/>
    </xf>
    <xf numFmtId="16" fontId="33" fillId="11" borderId="47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0" fontId="13" fillId="0" borderId="71" xfId="0" applyFont="1" applyBorder="1" applyAlignment="1">
      <alignment horizontal="center" vertical="center"/>
    </xf>
    <xf numFmtId="0" fontId="33" fillId="11" borderId="47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right" vertical="center"/>
    </xf>
    <xf numFmtId="0" fontId="7" fillId="0" borderId="53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right" vertical="center"/>
    </xf>
    <xf numFmtId="0" fontId="6" fillId="0" borderId="16" xfId="0" applyFont="1" applyBorder="1" applyAlignment="1">
      <alignment horizontal="right" vertical="center"/>
    </xf>
    <xf numFmtId="0" fontId="7" fillId="0" borderId="54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6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4" xfId="0" applyFont="1" applyBorder="1" applyAlignment="1">
      <alignment horizontal="right" vertical="center"/>
    </xf>
    <xf numFmtId="0" fontId="6" fillId="0" borderId="55" xfId="0" applyFont="1" applyBorder="1" applyAlignment="1">
      <alignment horizontal="right" vertical="center"/>
    </xf>
    <xf numFmtId="0" fontId="6" fillId="0" borderId="60" xfId="0" applyFont="1" applyBorder="1" applyAlignment="1">
      <alignment horizontal="right" vertical="center"/>
    </xf>
    <xf numFmtId="0" fontId="6" fillId="0" borderId="56" xfId="0" applyFont="1" applyBorder="1" applyAlignment="1">
      <alignment horizontal="right" vertical="center"/>
    </xf>
    <xf numFmtId="0" fontId="7" fillId="0" borderId="59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right" vertical="center"/>
    </xf>
    <xf numFmtId="0" fontId="7" fillId="0" borderId="5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 vertical="center"/>
    </xf>
    <xf numFmtId="0" fontId="6" fillId="0" borderId="10" xfId="0" applyFont="1" applyBorder="1" applyAlignment="1">
      <alignment horizontal="right" vertical="center"/>
    </xf>
    <xf numFmtId="0" fontId="6" fillId="8" borderId="54" xfId="0" applyFont="1" applyFill="1" applyBorder="1" applyAlignment="1">
      <alignment horizontal="center" vertical="center"/>
    </xf>
    <xf numFmtId="0" fontId="6" fillId="8" borderId="55" xfId="0" applyFont="1" applyFill="1" applyBorder="1" applyAlignment="1">
      <alignment horizontal="center" vertical="center"/>
    </xf>
    <xf numFmtId="0" fontId="6" fillId="8" borderId="5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8" borderId="61" xfId="0" applyFont="1" applyFill="1" applyBorder="1" applyAlignment="1">
      <alignment horizontal="center" vertical="center"/>
    </xf>
    <xf numFmtId="0" fontId="6" fillId="8" borderId="39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right" vertical="center"/>
    </xf>
    <xf numFmtId="0" fontId="6" fillId="0" borderId="13" xfId="0" applyFont="1" applyBorder="1" applyAlignment="1">
      <alignment horizontal="center" vertical="center" wrapText="1"/>
    </xf>
    <xf numFmtId="0" fontId="6" fillId="8" borderId="56" xfId="0" applyFont="1" applyFill="1" applyBorder="1" applyAlignment="1">
      <alignment horizontal="center" vertical="center"/>
    </xf>
    <xf numFmtId="0" fontId="6" fillId="0" borderId="4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/>
    </xf>
    <xf numFmtId="0" fontId="6" fillId="0" borderId="49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14" fontId="6" fillId="0" borderId="49" xfId="0" applyNumberFormat="1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9" xfId="0" applyFont="1" applyBorder="1" applyAlignment="1">
      <alignment horizontal="right" vertical="center"/>
    </xf>
    <xf numFmtId="0" fontId="6" fillId="0" borderId="58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/>
    </xf>
    <xf numFmtId="0" fontId="7" fillId="3" borderId="34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3" fillId="0" borderId="6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4" fontId="18" fillId="0" borderId="2" xfId="0" applyNumberFormat="1" applyFont="1" applyFill="1" applyBorder="1" applyAlignment="1">
      <alignment horizontal="center" vertical="center"/>
    </xf>
    <xf numFmtId="14" fontId="27" fillId="0" borderId="1" xfId="0" applyNumberFormat="1" applyFont="1" applyFill="1" applyBorder="1" applyAlignment="1">
      <alignment horizontal="center" vertical="center"/>
    </xf>
    <xf numFmtId="1" fontId="28" fillId="0" borderId="1" xfId="0" applyNumberFormat="1" applyFont="1" applyFill="1" applyBorder="1" applyAlignment="1">
      <alignment horizontal="center"/>
    </xf>
    <xf numFmtId="1" fontId="28" fillId="0" borderId="1" xfId="0" applyNumberFormat="1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0" xfId="0" applyFont="1" applyFill="1"/>
    <xf numFmtId="0" fontId="13" fillId="0" borderId="48" xfId="0" applyFont="1" applyBorder="1" applyAlignment="1">
      <alignment horizontal="center" vertical="center" wrapText="1"/>
    </xf>
    <xf numFmtId="1" fontId="6" fillId="0" borderId="71" xfId="0" applyNumberFormat="1" applyFont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34" fillId="11" borderId="47" xfId="0" applyNumberFormat="1" applyFont="1" applyFill="1" applyBorder="1" applyAlignment="1">
      <alignment horizontal="center" vertical="center"/>
    </xf>
    <xf numFmtId="1" fontId="28" fillId="0" borderId="47" xfId="0" applyNumberFormat="1" applyFont="1" applyBorder="1" applyAlignment="1">
      <alignment horizontal="center" vertical="center"/>
    </xf>
    <xf numFmtId="1" fontId="34" fillId="0" borderId="47" xfId="0" applyNumberFormat="1" applyFont="1" applyBorder="1" applyAlignment="1">
      <alignment horizontal="center" vertical="center"/>
    </xf>
    <xf numFmtId="1" fontId="34" fillId="11" borderId="71" xfId="0" applyNumberFormat="1" applyFont="1" applyFill="1" applyBorder="1" applyAlignment="1">
      <alignment horizontal="center" vertical="center"/>
    </xf>
    <xf numFmtId="1" fontId="25" fillId="0" borderId="71" xfId="0" applyNumberFormat="1" applyFont="1" applyBorder="1" applyAlignment="1">
      <alignment horizontal="center" vertical="center"/>
    </xf>
    <xf numFmtId="1" fontId="30" fillId="0" borderId="47" xfId="0" applyNumberFormat="1" applyFont="1" applyBorder="1" applyAlignment="1">
      <alignment horizontal="center" vertical="center"/>
    </xf>
    <xf numFmtId="1" fontId="32" fillId="0" borderId="47" xfId="0" applyNumberFormat="1" applyFont="1" applyBorder="1" applyAlignment="1">
      <alignment horizontal="center" vertical="center"/>
    </xf>
    <xf numFmtId="1" fontId="34" fillId="0" borderId="71" xfId="0" applyNumberFormat="1" applyFont="1" applyBorder="1" applyAlignment="1">
      <alignment horizontal="center" vertical="center"/>
    </xf>
    <xf numFmtId="1" fontId="8" fillId="0" borderId="47" xfId="0" applyNumberFormat="1" applyFont="1" applyBorder="1" applyAlignment="1">
      <alignment horizontal="center" vertical="center"/>
    </xf>
    <xf numFmtId="1" fontId="35" fillId="0" borderId="71" xfId="0" applyNumberFormat="1" applyFont="1" applyBorder="1" applyAlignment="1">
      <alignment horizontal="center" vertical="center"/>
    </xf>
  </cellXfs>
  <cellStyles count="12">
    <cellStyle name="Обычный" xfId="0" builtinId="0"/>
    <cellStyle name="Обычный 10" xfId="1" xr:uid="{00000000-0005-0000-0000-000001000000}"/>
    <cellStyle name="Обычный 3" xfId="2" xr:uid="{00000000-0005-0000-0000-000002000000}"/>
    <cellStyle name="Обычный 3 2" xfId="4" xr:uid="{00000000-0005-0000-0000-000003000000}"/>
    <cellStyle name="Обычный 3 2 2" xfId="6" xr:uid="{00000000-0005-0000-0000-000004000000}"/>
    <cellStyle name="Обычный 3 2 2 2" xfId="11" xr:uid="{00000000-0005-0000-0000-000005000000}"/>
    <cellStyle name="Обычный 3 2 3" xfId="9" xr:uid="{00000000-0005-0000-0000-000006000000}"/>
    <cellStyle name="Обычный 3 3" xfId="3" xr:uid="{00000000-0005-0000-0000-000007000000}"/>
    <cellStyle name="Обычный 3 3 2" xfId="8" xr:uid="{00000000-0005-0000-0000-000008000000}"/>
    <cellStyle name="Обычный 3 4" xfId="5" xr:uid="{00000000-0005-0000-0000-000009000000}"/>
    <cellStyle name="Обычный 3 4 2" xfId="10" xr:uid="{00000000-0005-0000-0000-00000A000000}"/>
    <cellStyle name="Обычный 3 5" xfId="7" xr:uid="{00000000-0005-0000-0000-00000B000000}"/>
  </cellStyles>
  <dxfs count="10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Times New Roman"/>
        <family val="1"/>
        <charset val="204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rgb="FFFFFFFF"/>
          <bgColor rgb="FF000000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fgColor rgb="FFFFFFFF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FFFFF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F3F"/>
      <color rgb="FFF433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4" Type="http://schemas.openxmlformats.org/officeDocument/2006/relationships/image" Target="../media/image19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21.jpeg"/><Relationship Id="rId1" Type="http://schemas.openxmlformats.org/officeDocument/2006/relationships/image" Target="../media/image20.jpeg"/><Relationship Id="rId5" Type="http://schemas.openxmlformats.org/officeDocument/2006/relationships/image" Target="../media/image23.jpeg"/><Relationship Id="rId4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51110</xdr:rowOff>
    </xdr:from>
    <xdr:to>
      <xdr:col>0</xdr:col>
      <xdr:colOff>739588</xdr:colOff>
      <xdr:row>4</xdr:row>
      <xdr:rowOff>142172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2610"/>
          <a:ext cx="739588" cy="550503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35</xdr:row>
      <xdr:rowOff>143289</xdr:rowOff>
    </xdr:from>
    <xdr:ext cx="812617" cy="533400"/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8" r="9571" b="3820"/>
        <a:stretch/>
      </xdr:blipFill>
      <xdr:spPr>
        <a:xfrm>
          <a:off x="0" y="8039514"/>
          <a:ext cx="812617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335032</xdr:rowOff>
    </xdr:from>
    <xdr:ext cx="790423" cy="518832"/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8" r="9571" b="3820"/>
        <a:stretch/>
      </xdr:blipFill>
      <xdr:spPr>
        <a:xfrm>
          <a:off x="0" y="8888482"/>
          <a:ext cx="790423" cy="518832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14</xdr:row>
      <xdr:rowOff>28575</xdr:rowOff>
    </xdr:from>
    <xdr:to>
      <xdr:col>0</xdr:col>
      <xdr:colOff>706451</xdr:colOff>
      <xdr:row>16</xdr:row>
      <xdr:rowOff>179033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00575"/>
          <a:ext cx="706451" cy="531458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17</xdr:row>
      <xdr:rowOff>38125</xdr:rowOff>
    </xdr:from>
    <xdr:ext cx="675155" cy="506366"/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191150"/>
          <a:ext cx="675155" cy="50636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41488</xdr:rowOff>
    </xdr:from>
    <xdr:ext cx="670672" cy="503004"/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03379"/>
          <a:ext cx="670672" cy="503004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57150</xdr:rowOff>
    </xdr:from>
    <xdr:to>
      <xdr:col>0</xdr:col>
      <xdr:colOff>778933</xdr:colOff>
      <xdr:row>43</xdr:row>
      <xdr:rowOff>117662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39175"/>
          <a:ext cx="778933" cy="441512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23</xdr:row>
      <xdr:rowOff>55391</xdr:rowOff>
    </xdr:from>
    <xdr:ext cx="663388" cy="497541"/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58570"/>
          <a:ext cx="663388" cy="497541"/>
        </a:xfrm>
        <a:prstGeom prst="rect">
          <a:avLst/>
        </a:prstGeom>
      </xdr:spPr>
    </xdr:pic>
    <xdr:clientData/>
  </xdr:oneCellAnchor>
  <xdr:twoCellAnchor editAs="oneCell">
    <xdr:from>
      <xdr:col>0</xdr:col>
      <xdr:colOff>19708</xdr:colOff>
      <xdr:row>44</xdr:row>
      <xdr:rowOff>12397</xdr:rowOff>
    </xdr:from>
    <xdr:to>
      <xdr:col>0</xdr:col>
      <xdr:colOff>753035</xdr:colOff>
      <xdr:row>46</xdr:row>
      <xdr:rowOff>152400</xdr:rowOff>
    </xdr:to>
    <xdr:pic>
      <xdr:nvPicPr>
        <xdr:cNvPr id="15" name="Рисунок 14" descr="http://www.uazbuka.ru/models/vezdehod/petrovich/petrovich_30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08" y="6709032"/>
          <a:ext cx="733327" cy="498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145677</xdr:rowOff>
    </xdr:from>
    <xdr:to>
      <xdr:col>0</xdr:col>
      <xdr:colOff>679671</xdr:colOff>
      <xdr:row>10</xdr:row>
      <xdr:rowOff>99815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AD41887C-48B1-4EBA-AC31-CEB8105C1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28265"/>
          <a:ext cx="679671" cy="402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112059</xdr:rowOff>
    </xdr:from>
    <xdr:to>
      <xdr:col>0</xdr:col>
      <xdr:colOff>739291</xdr:colOff>
      <xdr:row>13</xdr:row>
      <xdr:rowOff>120218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756EC0E2-7F0A-453F-B954-58ED23162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6647"/>
          <a:ext cx="739291" cy="433982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47</xdr:row>
      <xdr:rowOff>114422</xdr:rowOff>
    </xdr:from>
    <xdr:ext cx="739588" cy="552904"/>
    <xdr:pic>
      <xdr:nvPicPr>
        <xdr:cNvPr id="21" name="Рисунок 20">
          <a:extLst>
            <a:ext uri="{FF2B5EF4-FFF2-40B4-BE49-F238E27FC236}">
              <a16:creationId xmlns:a16="http://schemas.microsoft.com/office/drawing/2014/main" id="{9CCC52B6-CC25-4C64-A11C-12C908346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41128"/>
          <a:ext cx="739588" cy="552904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50</xdr:row>
      <xdr:rowOff>79642</xdr:rowOff>
    </xdr:from>
    <xdr:to>
      <xdr:col>0</xdr:col>
      <xdr:colOff>717176</xdr:colOff>
      <xdr:row>52</xdr:row>
      <xdr:rowOff>123079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7098E5A-BB7B-4F78-847C-999C7E6AF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568348"/>
          <a:ext cx="717176" cy="424437"/>
        </a:xfrm>
        <a:prstGeom prst="rect">
          <a:avLst/>
        </a:prstGeom>
      </xdr:spPr>
    </xdr:pic>
    <xdr:clientData/>
  </xdr:twoCellAnchor>
  <xdr:oneCellAnchor>
    <xdr:from>
      <xdr:col>0</xdr:col>
      <xdr:colOff>29696</xdr:colOff>
      <xdr:row>53</xdr:row>
      <xdr:rowOff>45944</xdr:rowOff>
    </xdr:from>
    <xdr:ext cx="675155" cy="506366"/>
    <xdr:pic>
      <xdr:nvPicPr>
        <xdr:cNvPr id="25" name="Рисунок 24">
          <a:extLst>
            <a:ext uri="{FF2B5EF4-FFF2-40B4-BE49-F238E27FC236}">
              <a16:creationId xmlns:a16="http://schemas.microsoft.com/office/drawing/2014/main" id="{B390F6F1-EAA1-45C8-AC19-DF8A7F929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96" y="11419915"/>
          <a:ext cx="675155" cy="50636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22973</xdr:rowOff>
    </xdr:from>
    <xdr:ext cx="695325" cy="521493"/>
    <xdr:pic>
      <xdr:nvPicPr>
        <xdr:cNvPr id="26" name="Рисунок 25">
          <a:extLst>
            <a:ext uri="{FF2B5EF4-FFF2-40B4-BE49-F238E27FC236}">
              <a16:creationId xmlns:a16="http://schemas.microsoft.com/office/drawing/2014/main" id="{8FB290DB-F77C-48EE-9A86-94EAB6AD3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643723"/>
          <a:ext cx="695325" cy="52149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67235</xdr:rowOff>
    </xdr:from>
    <xdr:ext cx="700452" cy="459775"/>
    <xdr:pic>
      <xdr:nvPicPr>
        <xdr:cNvPr id="22" name="Рисунок 21">
          <a:extLst>
            <a:ext uri="{FF2B5EF4-FFF2-40B4-BE49-F238E27FC236}">
              <a16:creationId xmlns:a16="http://schemas.microsoft.com/office/drawing/2014/main" id="{B4C83F52-85A1-4943-A657-2817BF01E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8" r="9571" b="3820"/>
        <a:stretch/>
      </xdr:blipFill>
      <xdr:spPr>
        <a:xfrm>
          <a:off x="0" y="5759823"/>
          <a:ext cx="700452" cy="459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55391</xdr:rowOff>
    </xdr:from>
    <xdr:ext cx="663388" cy="497541"/>
    <xdr:pic>
      <xdr:nvPicPr>
        <xdr:cNvPr id="24" name="Рисунок 23">
          <a:extLst>
            <a:ext uri="{FF2B5EF4-FFF2-40B4-BE49-F238E27FC236}">
              <a16:creationId xmlns:a16="http://schemas.microsoft.com/office/drawing/2014/main" id="{5A02AB73-81F5-4045-947B-FB41D998B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89391"/>
          <a:ext cx="663388" cy="49754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55391</xdr:rowOff>
    </xdr:from>
    <xdr:ext cx="663388" cy="497541"/>
    <xdr:pic>
      <xdr:nvPicPr>
        <xdr:cNvPr id="27" name="Рисунок 26">
          <a:extLst>
            <a:ext uri="{FF2B5EF4-FFF2-40B4-BE49-F238E27FC236}">
              <a16:creationId xmlns:a16="http://schemas.microsoft.com/office/drawing/2014/main" id="{49FA5DD9-2FD1-4A21-9637-2949C11CB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89391"/>
          <a:ext cx="663388" cy="497541"/>
        </a:xfrm>
        <a:prstGeom prst="rect">
          <a:avLst/>
        </a:prstGeom>
      </xdr:spPr>
    </xdr:pic>
    <xdr:clientData/>
  </xdr:oneCellAnchor>
  <xdr:twoCellAnchor editAs="oneCell">
    <xdr:from>
      <xdr:col>0</xdr:col>
      <xdr:colOff>56030</xdr:colOff>
      <xdr:row>59</xdr:row>
      <xdr:rowOff>25216</xdr:rowOff>
    </xdr:from>
    <xdr:to>
      <xdr:col>0</xdr:col>
      <xdr:colOff>677379</xdr:colOff>
      <xdr:row>61</xdr:row>
      <xdr:rowOff>166216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8512650C-8722-43E8-B9E6-4C09288680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7" t="27623" b="11831"/>
        <a:stretch/>
      </xdr:blipFill>
      <xdr:spPr>
        <a:xfrm>
          <a:off x="56030" y="13449863"/>
          <a:ext cx="621349" cy="522000"/>
        </a:xfrm>
        <a:prstGeom prst="rect">
          <a:avLst/>
        </a:prstGeom>
      </xdr:spPr>
    </xdr:pic>
    <xdr:clientData/>
  </xdr:twoCellAnchor>
  <xdr:twoCellAnchor editAs="oneCell">
    <xdr:from>
      <xdr:col>0</xdr:col>
      <xdr:colOff>33618</xdr:colOff>
      <xdr:row>62</xdr:row>
      <xdr:rowOff>28529</xdr:rowOff>
    </xdr:from>
    <xdr:to>
      <xdr:col>0</xdr:col>
      <xdr:colOff>654967</xdr:colOff>
      <xdr:row>64</xdr:row>
      <xdr:rowOff>169529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9B5395E7-1A67-4F28-9B09-44A6D9567D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7" t="27623" b="11831"/>
        <a:stretch/>
      </xdr:blipFill>
      <xdr:spPr>
        <a:xfrm>
          <a:off x="33618" y="14024676"/>
          <a:ext cx="621349" cy="522000"/>
        </a:xfrm>
        <a:prstGeom prst="rect">
          <a:avLst/>
        </a:prstGeom>
      </xdr:spPr>
    </xdr:pic>
    <xdr:clientData/>
  </xdr:twoCellAnchor>
  <xdr:twoCellAnchor editAs="oneCell">
    <xdr:from>
      <xdr:col>0</xdr:col>
      <xdr:colOff>44824</xdr:colOff>
      <xdr:row>5</xdr:row>
      <xdr:rowOff>78441</xdr:rowOff>
    </xdr:from>
    <xdr:to>
      <xdr:col>0</xdr:col>
      <xdr:colOff>657363</xdr:colOff>
      <xdr:row>7</xdr:row>
      <xdr:rowOff>86142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5E2B15E0-D2F0-410A-AD79-6936CFD27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4" y="1299882"/>
          <a:ext cx="612539" cy="4559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40902</xdr:colOff>
      <xdr:row>2</xdr:row>
      <xdr:rowOff>123265</xdr:rowOff>
    </xdr:from>
    <xdr:ext cx="561975" cy="421481"/>
    <xdr:pic>
      <xdr:nvPicPr>
        <xdr:cNvPr id="2" name="Рисунок 1">
          <a:extLst>
            <a:ext uri="{FF2B5EF4-FFF2-40B4-BE49-F238E27FC236}">
              <a16:creationId xmlns:a16="http://schemas.microsoft.com/office/drawing/2014/main" id="{F8BCC0D1-B3BA-4362-8EAC-48050A191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02" y="504265"/>
          <a:ext cx="561975" cy="42148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135031</xdr:rowOff>
    </xdr:from>
    <xdr:ext cx="626782" cy="470086"/>
    <xdr:pic>
      <xdr:nvPicPr>
        <xdr:cNvPr id="3" name="Рисунок 2">
          <a:extLst>
            <a:ext uri="{FF2B5EF4-FFF2-40B4-BE49-F238E27FC236}">
              <a16:creationId xmlns:a16="http://schemas.microsoft.com/office/drawing/2014/main" id="{17A5AB12-CEDA-4614-832E-FB3A1A30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89237"/>
          <a:ext cx="626782" cy="470086"/>
        </a:xfrm>
        <a:prstGeom prst="rect">
          <a:avLst/>
        </a:prstGeom>
      </xdr:spPr>
    </xdr:pic>
    <xdr:clientData/>
  </xdr:oneCellAnchor>
  <xdr:twoCellAnchor editAs="oneCell">
    <xdr:from>
      <xdr:col>0</xdr:col>
      <xdr:colOff>112060</xdr:colOff>
      <xdr:row>25</xdr:row>
      <xdr:rowOff>123264</xdr:rowOff>
    </xdr:from>
    <xdr:to>
      <xdr:col>0</xdr:col>
      <xdr:colOff>641324</xdr:colOff>
      <xdr:row>27</xdr:row>
      <xdr:rowOff>186903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5955765-5566-405E-B986-1A6C8871E4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7" t="27623" b="11831"/>
        <a:stretch/>
      </xdr:blipFill>
      <xdr:spPr>
        <a:xfrm>
          <a:off x="112060" y="5188323"/>
          <a:ext cx="529264" cy="444639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268943</xdr:colOff>
      <xdr:row>21</xdr:row>
      <xdr:rowOff>56029</xdr:rowOff>
    </xdr:from>
    <xdr:to>
      <xdr:col>1</xdr:col>
      <xdr:colOff>149450</xdr:colOff>
      <xdr:row>23</xdr:row>
      <xdr:rowOff>130077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3894E4A-E2F4-4353-965C-A93138D736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7" t="27623" b="11831"/>
        <a:stretch/>
      </xdr:blipFill>
      <xdr:spPr>
        <a:xfrm>
          <a:off x="268943" y="4359088"/>
          <a:ext cx="541654" cy="455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</xdr:row>
      <xdr:rowOff>16669</xdr:rowOff>
    </xdr:from>
    <xdr:to>
      <xdr:col>0</xdr:col>
      <xdr:colOff>762000</xdr:colOff>
      <xdr:row>4</xdr:row>
      <xdr:rowOff>177893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826294"/>
          <a:ext cx="733425" cy="55006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</xdr:row>
      <xdr:rowOff>19050</xdr:rowOff>
    </xdr:from>
    <xdr:to>
      <xdr:col>0</xdr:col>
      <xdr:colOff>752475</xdr:colOff>
      <xdr:row>8</xdr:row>
      <xdr:rowOff>981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619250"/>
          <a:ext cx="733425" cy="5500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19050</xdr:rowOff>
    </xdr:from>
    <xdr:to>
      <xdr:col>0</xdr:col>
      <xdr:colOff>812617</xdr:colOff>
      <xdr:row>10</xdr:row>
      <xdr:rowOff>155761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8" r="9571" b="3820"/>
        <a:stretch/>
      </xdr:blipFill>
      <xdr:spPr>
        <a:xfrm>
          <a:off x="0" y="2228850"/>
          <a:ext cx="812617" cy="53340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20</xdr:row>
      <xdr:rowOff>19050</xdr:rowOff>
    </xdr:from>
    <xdr:ext cx="812617" cy="533400"/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8" r="9571" b="3820"/>
        <a:stretch/>
      </xdr:blipFill>
      <xdr:spPr>
        <a:xfrm>
          <a:off x="0" y="4610100"/>
          <a:ext cx="812617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19050</xdr:rowOff>
    </xdr:from>
    <xdr:ext cx="812617" cy="533400"/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8" r="9571" b="3820"/>
        <a:stretch/>
      </xdr:blipFill>
      <xdr:spPr>
        <a:xfrm>
          <a:off x="0" y="5210175"/>
          <a:ext cx="812617" cy="533400"/>
        </a:xfrm>
        <a:prstGeom prst="rect">
          <a:avLst/>
        </a:prstGeom>
      </xdr:spPr>
    </xdr:pic>
    <xdr:clientData/>
  </xdr:oneCellAnchor>
  <xdr:twoCellAnchor editAs="oneCell">
    <xdr:from>
      <xdr:col>0</xdr:col>
      <xdr:colOff>66675</xdr:colOff>
      <xdr:row>11</xdr:row>
      <xdr:rowOff>9525</xdr:rowOff>
    </xdr:from>
    <xdr:to>
      <xdr:col>0</xdr:col>
      <xdr:colOff>800100</xdr:colOff>
      <xdr:row>14</xdr:row>
      <xdr:rowOff>2662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2819400"/>
          <a:ext cx="733425" cy="550069"/>
        </a:xfrm>
        <a:prstGeom prst="rect">
          <a:avLst/>
        </a:prstGeom>
      </xdr:spPr>
    </xdr:pic>
    <xdr:clientData/>
  </xdr:twoCellAnchor>
  <xdr:oneCellAnchor>
    <xdr:from>
      <xdr:col>0</xdr:col>
      <xdr:colOff>66675</xdr:colOff>
      <xdr:row>14</xdr:row>
      <xdr:rowOff>9525</xdr:rowOff>
    </xdr:from>
    <xdr:ext cx="733425" cy="550069"/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3419475"/>
          <a:ext cx="733425" cy="550069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17</xdr:row>
      <xdr:rowOff>9525</xdr:rowOff>
    </xdr:from>
    <xdr:ext cx="733425" cy="550069"/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019550"/>
          <a:ext cx="733425" cy="550069"/>
        </a:xfrm>
        <a:prstGeom prst="rect">
          <a:avLst/>
        </a:prstGeom>
      </xdr:spPr>
    </xdr:pic>
    <xdr:clientData/>
  </xdr:oneCellAnchor>
  <xdr:twoCellAnchor editAs="oneCell">
    <xdr:from>
      <xdr:col>0</xdr:col>
      <xdr:colOff>9525</xdr:colOff>
      <xdr:row>26</xdr:row>
      <xdr:rowOff>95250</xdr:rowOff>
    </xdr:from>
    <xdr:to>
      <xdr:col>0</xdr:col>
      <xdr:colOff>788458</xdr:colOff>
      <xdr:row>28</xdr:row>
      <xdr:rowOff>142875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886450"/>
          <a:ext cx="778933" cy="438150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29</xdr:row>
      <xdr:rowOff>28575</xdr:rowOff>
    </xdr:from>
    <xdr:ext cx="733425" cy="550069"/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391275"/>
          <a:ext cx="733425" cy="55006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19050</xdr:rowOff>
    </xdr:from>
    <xdr:ext cx="733425" cy="550069"/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53250"/>
          <a:ext cx="733425" cy="550069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K104" totalsRowShown="0" headerRowDxfId="104" dataDxfId="102" headerRowBorderDxfId="103" tableBorderDxfId="101" totalsRowBorderDxfId="100">
  <autoFilter ref="A1:K104" xr:uid="{00000000-0009-0000-0100-000001000000}"/>
  <sortState xmlns:xlrd2="http://schemas.microsoft.com/office/spreadsheetml/2017/richdata2" ref="A2:K136">
    <sortCondition sortBy="cellColor" ref="E1:E136" dxfId="91"/>
  </sortState>
  <tableColumns count="11">
    <tableColumn id="1" xr3:uid="{00000000-0010-0000-0000-000001000000}" name="№" dataDxfId="99"/>
    <tableColumn id="2" xr3:uid="{00000000-0010-0000-0000-000002000000}" name="Ф.И.О Специалистов ПГК " dataDxfId="98"/>
    <tableColumn id="3" xr3:uid="{00000000-0010-0000-0000-000003000000}" name="Должность " dataDxfId="97"/>
    <tableColumn id="6" xr3:uid="{00000000-0010-0000-0000-000006000000}" name="Статус" dataDxfId="86"/>
    <tableColumn id="4" xr3:uid="{00000000-0010-0000-0000-000004000000}" name="Местоположение" dataDxfId="96"/>
    <tableColumn id="5" xr3:uid="{00000000-0010-0000-0000-000005000000}" name="Дата начала командировки" dataDxfId="95"/>
    <tableColumn id="11" xr3:uid="{00000000-0010-0000-0000-00000B000000}" name="Дата выезда" dataDxfId="90"/>
    <tableColumn id="7" xr3:uid="{00000000-0010-0000-0000-000007000000}" name="Продолжительность командировки, дней" dataDxfId="94">
      <calculatedColumnFormula>IF(OR(ISBLANK(F2),(TODAY()-F2)&lt;0,0)," ",TODAY()-F2)</calculatedColumnFormula>
    </tableColumn>
    <tableColumn id="12" xr3:uid="{00000000-0010-0000-0000-00000C000000}" name="Продолжительность отдыха, дней" dataDxfId="93">
      <calculatedColumnFormula>IF(ISBLANK(Таблица1[[#This Row],[Дата выезда]])," ",IF((TODAY()-Таблица1[[#This Row],[Дата выезда]])&lt;0," ",TODAY()-Таблица1[[#This Row],[Дата выезда]]))</calculatedColumnFormula>
    </tableColumn>
    <tableColumn id="8" xr3:uid="{288F272A-6442-492A-9468-8B4CA2BBA1EE}" name="Суммарный объём" dataDxfId="0"/>
    <tableColumn id="10" xr3:uid="{00000000-0010-0000-0000-00000A000000}" name="Примечания" dataDxfId="9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133"/>
  <sheetViews>
    <sheetView tabSelected="1" zoomScale="85" zoomScaleNormal="85" workbookViewId="0">
      <pane ySplit="1" topLeftCell="A2" activePane="bottomLeft" state="frozen"/>
      <selection pane="bottomLeft" activeCell="J48" sqref="J48"/>
    </sheetView>
  </sheetViews>
  <sheetFormatPr defaultRowHeight="15" x14ac:dyDescent="0.25"/>
  <cols>
    <col min="1" max="1" width="5.140625" style="4" customWidth="1"/>
    <col min="2" max="2" width="30.7109375" style="4" customWidth="1"/>
    <col min="3" max="3" width="41" style="4" customWidth="1"/>
    <col min="4" max="4" width="22.28515625" style="4" customWidth="1"/>
    <col min="5" max="5" width="29" style="162" customWidth="1"/>
    <col min="6" max="6" width="19" style="4" customWidth="1"/>
    <col min="7" max="7" width="18.28515625" style="4" customWidth="1"/>
    <col min="8" max="8" width="18.28515625" style="162" customWidth="1"/>
    <col min="9" max="10" width="20.85546875" style="4" customWidth="1"/>
    <col min="11" max="11" width="102" style="4" customWidth="1"/>
    <col min="12" max="12" width="40.28515625" style="4" customWidth="1"/>
    <col min="13" max="13" width="25.42578125" style="4" customWidth="1"/>
    <col min="14" max="48" width="12" style="4" customWidth="1"/>
    <col min="49" max="49" width="10.140625" style="4" bestFit="1" customWidth="1"/>
    <col min="50" max="16384" width="9.140625" style="4"/>
  </cols>
  <sheetData>
    <row r="1" spans="1:49" ht="46.5" customHeight="1" x14ac:dyDescent="0.25">
      <c r="A1" s="226" t="s">
        <v>175</v>
      </c>
      <c r="B1" s="227" t="s">
        <v>177</v>
      </c>
      <c r="C1" s="227" t="s">
        <v>178</v>
      </c>
      <c r="D1" s="227" t="s">
        <v>390</v>
      </c>
      <c r="E1" s="227" t="s">
        <v>179</v>
      </c>
      <c r="F1" s="227" t="s">
        <v>193</v>
      </c>
      <c r="G1" s="227" t="s">
        <v>194</v>
      </c>
      <c r="H1" s="227" t="s">
        <v>197</v>
      </c>
      <c r="I1" s="227" t="s">
        <v>195</v>
      </c>
      <c r="J1" s="386" t="s">
        <v>392</v>
      </c>
      <c r="K1" s="165" t="s">
        <v>176</v>
      </c>
      <c r="L1" s="168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</row>
    <row r="2" spans="1:49" ht="15.75" customHeight="1" x14ac:dyDescent="0.25">
      <c r="A2" s="212">
        <v>1</v>
      </c>
      <c r="B2" s="21" t="s">
        <v>204</v>
      </c>
      <c r="C2" s="21" t="s">
        <v>187</v>
      </c>
      <c r="D2" s="21" t="s">
        <v>391</v>
      </c>
      <c r="E2" s="186" t="s">
        <v>227</v>
      </c>
      <c r="F2" s="179">
        <v>45944</v>
      </c>
      <c r="G2" s="183"/>
      <c r="H2" s="188">
        <f t="shared" ref="H2" ca="1" si="0">IF(OR(ISBLANK(F2),(TODAY()-F2)&lt;0,0)," ",TODAY()-F2)</f>
        <v>175</v>
      </c>
      <c r="I2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2" s="387">
        <v>23</v>
      </c>
      <c r="K2" s="184" t="s">
        <v>290</v>
      </c>
      <c r="L2" s="166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</row>
    <row r="3" spans="1:49" ht="15.75" customHeight="1" x14ac:dyDescent="0.25">
      <c r="A3" s="212">
        <v>2</v>
      </c>
      <c r="B3" s="16" t="s">
        <v>328</v>
      </c>
      <c r="C3" s="16" t="s">
        <v>187</v>
      </c>
      <c r="D3" s="21" t="s">
        <v>391</v>
      </c>
      <c r="E3" s="186" t="s">
        <v>227</v>
      </c>
      <c r="F3" s="183">
        <v>46065</v>
      </c>
      <c r="G3" s="183"/>
      <c r="H3" s="191">
        <f t="shared" ref="H3:H4" ca="1" si="1">IF(OR(ISBLANK(F3),(TODAY()-F3)&lt;0,0)," ",TODAY()-F3)</f>
        <v>54</v>
      </c>
      <c r="I3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3" s="388">
        <v>50</v>
      </c>
      <c r="K3" s="182" t="s">
        <v>330</v>
      </c>
      <c r="L3" s="166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</row>
    <row r="4" spans="1:49" ht="15.75" customHeight="1" x14ac:dyDescent="0.25">
      <c r="A4" s="212">
        <v>3</v>
      </c>
      <c r="B4" s="16" t="s">
        <v>329</v>
      </c>
      <c r="C4" s="16" t="s">
        <v>187</v>
      </c>
      <c r="D4" s="21" t="s">
        <v>391</v>
      </c>
      <c r="E4" s="186" t="s">
        <v>227</v>
      </c>
      <c r="F4" s="183">
        <v>46065</v>
      </c>
      <c r="G4" s="183"/>
      <c r="H4" s="191">
        <f t="shared" ca="1" si="1"/>
        <v>54</v>
      </c>
      <c r="I4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4" s="387">
        <v>77</v>
      </c>
      <c r="K4" s="182" t="s">
        <v>330</v>
      </c>
      <c r="L4" s="166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</row>
    <row r="5" spans="1:49" ht="15.75" customHeight="1" x14ac:dyDescent="0.25">
      <c r="A5" s="212">
        <v>4</v>
      </c>
      <c r="B5" s="16" t="s">
        <v>361</v>
      </c>
      <c r="C5" s="16" t="s">
        <v>187</v>
      </c>
      <c r="D5" s="21" t="s">
        <v>391</v>
      </c>
      <c r="E5" s="186" t="s">
        <v>227</v>
      </c>
      <c r="F5" s="232">
        <v>46091</v>
      </c>
      <c r="G5" s="232"/>
      <c r="H5" s="233">
        <f ca="1">IF(OR(ISBLANK(F5),(TODAY()-F5)&lt;0,0)," ",TODAY()-F5)</f>
        <v>28</v>
      </c>
      <c r="I5" s="234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5" s="388">
        <v>104</v>
      </c>
      <c r="K5" s="182" t="s">
        <v>362</v>
      </c>
      <c r="L5" s="166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</row>
    <row r="6" spans="1:49" ht="16.5" customHeight="1" x14ac:dyDescent="0.25">
      <c r="A6" s="212">
        <v>5</v>
      </c>
      <c r="B6" s="196" t="s">
        <v>244</v>
      </c>
      <c r="C6" s="16" t="s">
        <v>45</v>
      </c>
      <c r="D6" s="21" t="s">
        <v>391</v>
      </c>
      <c r="E6" s="186" t="s">
        <v>307</v>
      </c>
      <c r="F6" s="179">
        <v>46042</v>
      </c>
      <c r="G6" s="190"/>
      <c r="H6" s="181">
        <f t="shared" ref="H6:H11" ca="1" si="2">IF(OR(ISBLANK(F6),(TODAY()-F6)&lt;0,0)," ",TODAY()-F6)</f>
        <v>77</v>
      </c>
      <c r="I6" s="195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6" s="387">
        <v>131</v>
      </c>
      <c r="K6" s="182" t="s">
        <v>334</v>
      </c>
      <c r="L6" s="166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</row>
    <row r="7" spans="1:49" ht="15" customHeight="1" x14ac:dyDescent="0.25">
      <c r="A7" s="212">
        <v>6</v>
      </c>
      <c r="B7" s="21" t="s">
        <v>215</v>
      </c>
      <c r="C7" s="21" t="s">
        <v>183</v>
      </c>
      <c r="D7" s="21" t="s">
        <v>391</v>
      </c>
      <c r="E7" s="186" t="s">
        <v>307</v>
      </c>
      <c r="F7" s="183">
        <v>46048</v>
      </c>
      <c r="G7" s="190"/>
      <c r="H7" s="181">
        <f t="shared" ca="1" si="2"/>
        <v>71</v>
      </c>
      <c r="I7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7" s="388">
        <v>158</v>
      </c>
      <c r="K7" s="184" t="s">
        <v>333</v>
      </c>
      <c r="L7" s="166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</row>
    <row r="8" spans="1:49" ht="16.5" customHeight="1" x14ac:dyDescent="0.25">
      <c r="A8" s="212">
        <v>7</v>
      </c>
      <c r="B8" s="16" t="s">
        <v>219</v>
      </c>
      <c r="C8" s="16" t="s">
        <v>228</v>
      </c>
      <c r="D8" s="21" t="s">
        <v>391</v>
      </c>
      <c r="E8" s="186" t="s">
        <v>307</v>
      </c>
      <c r="F8" s="183">
        <v>46048</v>
      </c>
      <c r="G8" s="190"/>
      <c r="H8" s="181">
        <f t="shared" ca="1" si="2"/>
        <v>71</v>
      </c>
      <c r="I8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8" s="387">
        <v>185</v>
      </c>
      <c r="K8" s="182" t="s">
        <v>331</v>
      </c>
      <c r="L8" s="166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</row>
    <row r="9" spans="1:49" ht="15" customHeight="1" x14ac:dyDescent="0.25">
      <c r="A9" s="212">
        <v>8</v>
      </c>
      <c r="B9" s="16" t="s">
        <v>188</v>
      </c>
      <c r="C9" s="16" t="s">
        <v>120</v>
      </c>
      <c r="D9" s="21" t="s">
        <v>391</v>
      </c>
      <c r="E9" s="186" t="s">
        <v>307</v>
      </c>
      <c r="F9" s="183">
        <v>46048</v>
      </c>
      <c r="G9" s="183"/>
      <c r="H9" s="181">
        <f t="shared" ca="1" si="2"/>
        <v>71</v>
      </c>
      <c r="I9" s="189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9" s="388">
        <v>212</v>
      </c>
      <c r="K9" s="182" t="s">
        <v>332</v>
      </c>
      <c r="L9" s="166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</row>
    <row r="10" spans="1:49" ht="15" customHeight="1" x14ac:dyDescent="0.25">
      <c r="A10" s="212">
        <v>9</v>
      </c>
      <c r="B10" s="196" t="s">
        <v>245</v>
      </c>
      <c r="C10" s="16" t="s">
        <v>183</v>
      </c>
      <c r="D10" s="21" t="s">
        <v>391</v>
      </c>
      <c r="E10" s="186" t="s">
        <v>306</v>
      </c>
      <c r="F10" s="187">
        <v>46057</v>
      </c>
      <c r="G10" s="183"/>
      <c r="H10" s="197">
        <f t="shared" ca="1" si="2"/>
        <v>62</v>
      </c>
      <c r="I10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0" s="387">
        <v>239</v>
      </c>
      <c r="K10" s="182" t="s">
        <v>314</v>
      </c>
      <c r="L10" s="169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W10" s="163"/>
    </row>
    <row r="11" spans="1:49" ht="16.5" customHeight="1" x14ac:dyDescent="0.25">
      <c r="A11" s="212">
        <v>10</v>
      </c>
      <c r="B11" s="196" t="s">
        <v>246</v>
      </c>
      <c r="C11" s="193" t="s">
        <v>182</v>
      </c>
      <c r="D11" s="21" t="s">
        <v>391</v>
      </c>
      <c r="E11" s="186" t="s">
        <v>306</v>
      </c>
      <c r="F11" s="187">
        <v>46057</v>
      </c>
      <c r="G11" s="183"/>
      <c r="H11" s="197">
        <f t="shared" ca="1" si="2"/>
        <v>62</v>
      </c>
      <c r="I11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1" s="388">
        <v>266</v>
      </c>
      <c r="K11" s="182" t="s">
        <v>313</v>
      </c>
      <c r="L11" s="166"/>
    </row>
    <row r="12" spans="1:49" ht="15" customHeight="1" x14ac:dyDescent="0.25">
      <c r="A12" s="212">
        <v>11</v>
      </c>
      <c r="B12" s="16" t="s">
        <v>198</v>
      </c>
      <c r="C12" s="16" t="s">
        <v>183</v>
      </c>
      <c r="D12" s="21" t="s">
        <v>391</v>
      </c>
      <c r="E12" s="186" t="s">
        <v>306</v>
      </c>
      <c r="F12" s="187">
        <v>46057</v>
      </c>
      <c r="G12" s="183"/>
      <c r="H12" s="181">
        <f ca="1">IF(OR(ISBLANK(F12),(TODAY()-F12)&lt;0,0)," ",TODAY()-F12)</f>
        <v>62</v>
      </c>
      <c r="I12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2" s="387">
        <v>293</v>
      </c>
      <c r="K12" s="182" t="s">
        <v>312</v>
      </c>
      <c r="L12" s="166"/>
    </row>
    <row r="13" spans="1:49" ht="15.75" customHeight="1" x14ac:dyDescent="0.25">
      <c r="A13" s="212">
        <v>12</v>
      </c>
      <c r="B13" s="21" t="s">
        <v>190</v>
      </c>
      <c r="C13" s="21" t="s">
        <v>182</v>
      </c>
      <c r="D13" s="21" t="s">
        <v>391</v>
      </c>
      <c r="E13" s="186" t="s">
        <v>306</v>
      </c>
      <c r="F13" s="187">
        <v>46057</v>
      </c>
      <c r="G13" s="183"/>
      <c r="H13" s="188">
        <f t="shared" ref="H13" ca="1" si="3">IF(OR(ISBLANK(F13),(TODAY()-F13)&lt;0,0)," ",TODAY()-F13)</f>
        <v>62</v>
      </c>
      <c r="I13" s="185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3" s="388">
        <v>320</v>
      </c>
      <c r="K13" s="184" t="s">
        <v>311</v>
      </c>
      <c r="L13" s="166"/>
    </row>
    <row r="14" spans="1:49" ht="15.75" customHeight="1" x14ac:dyDescent="0.25">
      <c r="A14" s="212">
        <v>13</v>
      </c>
      <c r="B14" s="16" t="s">
        <v>207</v>
      </c>
      <c r="C14" s="16" t="s">
        <v>182</v>
      </c>
      <c r="D14" s="21" t="s">
        <v>391</v>
      </c>
      <c r="E14" s="186" t="s">
        <v>306</v>
      </c>
      <c r="F14" s="187">
        <v>46058</v>
      </c>
      <c r="G14" s="183"/>
      <c r="H14" s="181">
        <f t="shared" ref="H14:H15" ca="1" si="4">IF(OR(ISBLANK(F14),(TODAY()-F14)&lt;0,0)," ",TODAY()-F14)</f>
        <v>61</v>
      </c>
      <c r="I14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4" s="387">
        <v>347</v>
      </c>
      <c r="K14" s="182" t="s">
        <v>310</v>
      </c>
      <c r="L14" s="166"/>
    </row>
    <row r="15" spans="1:49" ht="15.75" customHeight="1" x14ac:dyDescent="0.25">
      <c r="A15" s="212">
        <v>14</v>
      </c>
      <c r="B15" s="16" t="s">
        <v>94</v>
      </c>
      <c r="C15" s="16" t="s">
        <v>183</v>
      </c>
      <c r="D15" s="21" t="s">
        <v>391</v>
      </c>
      <c r="E15" s="186" t="s">
        <v>306</v>
      </c>
      <c r="F15" s="187">
        <v>46058</v>
      </c>
      <c r="G15" s="183"/>
      <c r="H15" s="181">
        <f t="shared" ca="1" si="4"/>
        <v>61</v>
      </c>
      <c r="I15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5" s="388">
        <v>374</v>
      </c>
      <c r="K15" s="182" t="s">
        <v>309</v>
      </c>
      <c r="L15" s="166"/>
    </row>
    <row r="16" spans="1:49" ht="15.75" customHeight="1" x14ac:dyDescent="0.25">
      <c r="A16" s="212">
        <v>15</v>
      </c>
      <c r="B16" s="196" t="s">
        <v>234</v>
      </c>
      <c r="C16" s="196" t="s">
        <v>235</v>
      </c>
      <c r="D16" s="21" t="s">
        <v>391</v>
      </c>
      <c r="E16" s="186" t="s">
        <v>306</v>
      </c>
      <c r="F16" s="194">
        <v>46059</v>
      </c>
      <c r="G16" s="194"/>
      <c r="H16" s="197">
        <f ca="1">IF(OR(ISBLANK(F16),(TODAY()-F16)&lt;0,0)," ",TODAY()-F16)</f>
        <v>60</v>
      </c>
      <c r="I16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6" s="387">
        <v>401</v>
      </c>
      <c r="K16" s="182" t="s">
        <v>308</v>
      </c>
      <c r="L16" s="166"/>
    </row>
    <row r="17" spans="1:52" ht="15.75" customHeight="1" x14ac:dyDescent="0.25">
      <c r="A17" s="212">
        <v>16</v>
      </c>
      <c r="B17" s="16" t="s">
        <v>186</v>
      </c>
      <c r="C17" s="16" t="s">
        <v>120</v>
      </c>
      <c r="D17" s="21" t="s">
        <v>391</v>
      </c>
      <c r="E17" s="186" t="s">
        <v>306</v>
      </c>
      <c r="F17" s="187">
        <v>46062</v>
      </c>
      <c r="G17" s="183"/>
      <c r="H17" s="181">
        <f ca="1">IF(OR(ISBLANK(F17),(TODAY()-F17)&lt;0,0)," ",TODAY()-F17)</f>
        <v>57</v>
      </c>
      <c r="I17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7" s="388">
        <v>428</v>
      </c>
      <c r="K17" s="182" t="s">
        <v>315</v>
      </c>
      <c r="L17" s="166"/>
    </row>
    <row r="18" spans="1:52" ht="15.75" customHeight="1" x14ac:dyDescent="0.25">
      <c r="A18" s="212">
        <v>17</v>
      </c>
      <c r="B18" s="16" t="s">
        <v>184</v>
      </c>
      <c r="C18" s="16" t="s">
        <v>82</v>
      </c>
      <c r="D18" s="21" t="s">
        <v>391</v>
      </c>
      <c r="E18" s="186" t="s">
        <v>306</v>
      </c>
      <c r="F18" s="187">
        <v>46062</v>
      </c>
      <c r="G18" s="183"/>
      <c r="H18" s="181">
        <f t="shared" ref="H18:H20" ca="1" si="5">IF(OR(ISBLANK(F18),(TODAY()-F18)&lt;0,0)," ",TODAY()-F18)</f>
        <v>57</v>
      </c>
      <c r="I18" s="189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8" s="387">
        <v>455</v>
      </c>
      <c r="K18" s="182" t="s">
        <v>316</v>
      </c>
      <c r="L18" s="170"/>
    </row>
    <row r="19" spans="1:52" s="164" customFormat="1" ht="15.75" customHeight="1" x14ac:dyDescent="0.25">
      <c r="A19" s="212">
        <v>18</v>
      </c>
      <c r="B19" s="16" t="s">
        <v>131</v>
      </c>
      <c r="C19" s="16" t="s">
        <v>55</v>
      </c>
      <c r="D19" s="21" t="s">
        <v>391</v>
      </c>
      <c r="E19" s="186" t="s">
        <v>306</v>
      </c>
      <c r="F19" s="187">
        <v>46062</v>
      </c>
      <c r="G19" s="183"/>
      <c r="H19" s="181">
        <f t="shared" ca="1" si="5"/>
        <v>57</v>
      </c>
      <c r="I19" s="210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9" s="388">
        <v>482</v>
      </c>
      <c r="K19" s="182" t="s">
        <v>317</v>
      </c>
      <c r="L19" s="17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s="385" customFormat="1" ht="15.75" customHeight="1" x14ac:dyDescent="0.25">
      <c r="A20" s="376">
        <v>19</v>
      </c>
      <c r="B20" s="377" t="s">
        <v>237</v>
      </c>
      <c r="C20" s="377" t="s">
        <v>239</v>
      </c>
      <c r="D20" s="21" t="s">
        <v>391</v>
      </c>
      <c r="E20" s="378" t="s">
        <v>306</v>
      </c>
      <c r="F20" s="379">
        <v>46062</v>
      </c>
      <c r="G20" s="380"/>
      <c r="H20" s="381">
        <f t="shared" ca="1" si="5"/>
        <v>57</v>
      </c>
      <c r="I20" s="382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20" s="387">
        <v>509</v>
      </c>
      <c r="K20" s="383" t="s">
        <v>382</v>
      </c>
      <c r="L20" s="384"/>
    </row>
    <row r="21" spans="1:52" ht="15.75" customHeight="1" x14ac:dyDescent="0.25">
      <c r="A21" s="212">
        <v>20</v>
      </c>
      <c r="B21" s="16" t="s">
        <v>210</v>
      </c>
      <c r="C21" s="16" t="s">
        <v>192</v>
      </c>
      <c r="D21" s="21" t="s">
        <v>391</v>
      </c>
      <c r="E21" s="186" t="s">
        <v>379</v>
      </c>
      <c r="F21" s="187">
        <v>46062</v>
      </c>
      <c r="G21" s="183"/>
      <c r="H21" s="181">
        <f t="shared" ref="H21:H22" ca="1" si="6">IF(OR(ISBLANK(F21),(TODAY()-F21)&lt;0,0)," ",TODAY()-F21)</f>
        <v>57</v>
      </c>
      <c r="I21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21" s="388">
        <v>536</v>
      </c>
      <c r="K21" s="182" t="s">
        <v>320</v>
      </c>
      <c r="L21" s="166"/>
    </row>
    <row r="22" spans="1:52" ht="15.75" customHeight="1" x14ac:dyDescent="0.25">
      <c r="A22" s="212">
        <v>21</v>
      </c>
      <c r="B22" s="16" t="s">
        <v>224</v>
      </c>
      <c r="C22" s="16" t="s">
        <v>187</v>
      </c>
      <c r="D22" s="21" t="s">
        <v>391</v>
      </c>
      <c r="E22" s="186" t="s">
        <v>379</v>
      </c>
      <c r="F22" s="187">
        <v>46062</v>
      </c>
      <c r="G22" s="180"/>
      <c r="H22" s="181">
        <f t="shared" ca="1" si="6"/>
        <v>57</v>
      </c>
      <c r="I22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22" s="387">
        <v>563</v>
      </c>
      <c r="K22" s="182" t="s">
        <v>319</v>
      </c>
      <c r="L22" s="166"/>
    </row>
    <row r="23" spans="1:52" ht="15.75" customHeight="1" x14ac:dyDescent="0.25">
      <c r="A23" s="212">
        <v>22</v>
      </c>
      <c r="B23" s="16" t="s">
        <v>205</v>
      </c>
      <c r="C23" s="16" t="s">
        <v>187</v>
      </c>
      <c r="D23" s="21" t="s">
        <v>391</v>
      </c>
      <c r="E23" s="186" t="s">
        <v>379</v>
      </c>
      <c r="F23" s="187">
        <v>46062</v>
      </c>
      <c r="G23" s="183"/>
      <c r="H23" s="181">
        <f ca="1">IF(OR(ISBLANK(F23),(TODAY()-F23)&lt;0,0)," ",TODAY()-F23)</f>
        <v>57</v>
      </c>
      <c r="I23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23" s="388">
        <v>590</v>
      </c>
      <c r="K23" s="192" t="s">
        <v>318</v>
      </c>
      <c r="L23" s="171"/>
    </row>
    <row r="24" spans="1:52" ht="15.75" customHeight="1" x14ac:dyDescent="0.25">
      <c r="A24" s="212">
        <v>23</v>
      </c>
      <c r="B24" s="207" t="s">
        <v>342</v>
      </c>
      <c r="C24" s="16" t="s">
        <v>183</v>
      </c>
      <c r="D24" s="21" t="s">
        <v>391</v>
      </c>
      <c r="E24" s="186" t="s">
        <v>379</v>
      </c>
      <c r="F24" s="208">
        <v>46085</v>
      </c>
      <c r="G24" s="208"/>
      <c r="H24" s="209">
        <f t="shared" ref="H24:H25" ca="1" si="7">IF(OR(ISBLANK(F24),(TODAY()-F24)&lt;0,0)," ",TODAY()-F24)</f>
        <v>34</v>
      </c>
      <c r="I24" s="210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24" s="387">
        <v>617</v>
      </c>
      <c r="K24" s="215" t="s">
        <v>344</v>
      </c>
      <c r="L24" s="166"/>
    </row>
    <row r="25" spans="1:52" ht="15.75" customHeight="1" x14ac:dyDescent="0.25">
      <c r="A25" s="212">
        <v>24</v>
      </c>
      <c r="B25" s="207" t="s">
        <v>343</v>
      </c>
      <c r="C25" s="16" t="s">
        <v>182</v>
      </c>
      <c r="D25" s="21" t="s">
        <v>391</v>
      </c>
      <c r="E25" s="186" t="s">
        <v>379</v>
      </c>
      <c r="F25" s="208">
        <v>46085</v>
      </c>
      <c r="G25" s="208"/>
      <c r="H25" s="209">
        <f t="shared" ca="1" si="7"/>
        <v>34</v>
      </c>
      <c r="I25" s="210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25" s="388">
        <v>644</v>
      </c>
      <c r="K25" s="215" t="s">
        <v>344</v>
      </c>
      <c r="L25" s="166"/>
    </row>
    <row r="26" spans="1:52" ht="15.75" customHeight="1" x14ac:dyDescent="0.25">
      <c r="A26" s="212">
        <v>25</v>
      </c>
      <c r="B26" s="231" t="s">
        <v>369</v>
      </c>
      <c r="C26" s="21" t="s">
        <v>120</v>
      </c>
      <c r="D26" s="21" t="s">
        <v>391</v>
      </c>
      <c r="E26" s="186" t="s">
        <v>379</v>
      </c>
      <c r="F26" s="232">
        <v>46092</v>
      </c>
      <c r="G26" s="232"/>
      <c r="H26" s="233">
        <f ca="1">IF(OR(ISBLANK(F26),(TODAY()-F26)&lt;0,0)," ",TODAY()-F26)</f>
        <v>27</v>
      </c>
      <c r="I26" s="234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26" s="387">
        <v>671</v>
      </c>
      <c r="K26" s="235" t="s">
        <v>370</v>
      </c>
      <c r="L26" s="166"/>
    </row>
    <row r="27" spans="1:52" ht="15.75" customHeight="1" x14ac:dyDescent="0.25">
      <c r="A27" s="212">
        <v>26</v>
      </c>
      <c r="B27" s="16" t="s">
        <v>266</v>
      </c>
      <c r="C27" s="16" t="s">
        <v>55</v>
      </c>
      <c r="D27" s="21" t="s">
        <v>391</v>
      </c>
      <c r="E27" s="186" t="s">
        <v>379</v>
      </c>
      <c r="F27" s="208">
        <v>46104</v>
      </c>
      <c r="G27" s="204"/>
      <c r="H27" s="191">
        <f t="shared" ref="H27:H28" ca="1" si="8">IF(OR(ISBLANK(F27),(TODAY()-F27)&lt;0,0)," ",TODAY()-F27)</f>
        <v>15</v>
      </c>
      <c r="I27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27" s="388">
        <v>698</v>
      </c>
      <c r="K27" s="182" t="s">
        <v>377</v>
      </c>
      <c r="L27" s="170"/>
    </row>
    <row r="28" spans="1:52" ht="15.75" customHeight="1" x14ac:dyDescent="0.25">
      <c r="A28" s="212">
        <v>27</v>
      </c>
      <c r="B28" s="236" t="s">
        <v>372</v>
      </c>
      <c r="C28" s="236" t="s">
        <v>187</v>
      </c>
      <c r="D28" s="21" t="s">
        <v>391</v>
      </c>
      <c r="E28" s="186" t="s">
        <v>379</v>
      </c>
      <c r="F28" s="237">
        <v>46104</v>
      </c>
      <c r="G28" s="237"/>
      <c r="H28" s="238">
        <f t="shared" ca="1" si="8"/>
        <v>15</v>
      </c>
      <c r="I28" s="220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28" s="387">
        <v>725</v>
      </c>
      <c r="K28" s="239" t="s">
        <v>375</v>
      </c>
      <c r="L28" s="166"/>
    </row>
    <row r="29" spans="1:52" ht="15.75" customHeight="1" x14ac:dyDescent="0.25">
      <c r="A29" s="212">
        <v>28</v>
      </c>
      <c r="B29" s="231" t="s">
        <v>373</v>
      </c>
      <c r="C29" s="16" t="s">
        <v>182</v>
      </c>
      <c r="D29" s="21" t="s">
        <v>391</v>
      </c>
      <c r="E29" s="186" t="s">
        <v>379</v>
      </c>
      <c r="F29" s="232">
        <v>46106</v>
      </c>
      <c r="G29" s="232"/>
      <c r="H29" s="233">
        <f t="shared" ref="H29:H31" ca="1" si="9">IF(OR(ISBLANK(F29),(TODAY()-F29)&lt;0,0)," ",TODAY()-F29)</f>
        <v>13</v>
      </c>
      <c r="I29" s="234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29" s="388"/>
      <c r="K29" s="239" t="s">
        <v>376</v>
      </c>
      <c r="L29" s="166"/>
    </row>
    <row r="30" spans="1:52" s="164" customFormat="1" ht="15.75" customHeight="1" x14ac:dyDescent="0.25">
      <c r="A30" s="212">
        <v>29</v>
      </c>
      <c r="B30" s="231" t="s">
        <v>374</v>
      </c>
      <c r="C30" s="16" t="s">
        <v>183</v>
      </c>
      <c r="D30" s="21" t="s">
        <v>391</v>
      </c>
      <c r="E30" s="186" t="s">
        <v>379</v>
      </c>
      <c r="F30" s="232">
        <v>46106</v>
      </c>
      <c r="G30" s="232"/>
      <c r="H30" s="233">
        <f t="shared" ca="1" si="9"/>
        <v>13</v>
      </c>
      <c r="I30" s="234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30" s="392"/>
      <c r="K30" s="239" t="s">
        <v>376</v>
      </c>
      <c r="L30" s="166"/>
    </row>
    <row r="31" spans="1:52" s="164" customFormat="1" ht="15.75" customHeight="1" x14ac:dyDescent="0.25">
      <c r="A31" s="212">
        <v>30</v>
      </c>
      <c r="B31" s="196" t="s">
        <v>236</v>
      </c>
      <c r="C31" s="21" t="s">
        <v>45</v>
      </c>
      <c r="D31" s="21" t="s">
        <v>391</v>
      </c>
      <c r="E31" s="186" t="s">
        <v>379</v>
      </c>
      <c r="F31" s="230">
        <v>46106</v>
      </c>
      <c r="G31" s="190"/>
      <c r="H31" s="197">
        <f t="shared" ca="1" si="9"/>
        <v>13</v>
      </c>
      <c r="I31" s="195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31" s="390"/>
      <c r="K31" s="182" t="s">
        <v>378</v>
      </c>
      <c r="L31" s="171"/>
    </row>
    <row r="32" spans="1:52" ht="15.75" customHeight="1" x14ac:dyDescent="0.25">
      <c r="A32" s="212">
        <v>31</v>
      </c>
      <c r="B32" s="21" t="s">
        <v>220</v>
      </c>
      <c r="C32" s="21" t="s">
        <v>120</v>
      </c>
      <c r="D32" s="21" t="s">
        <v>391</v>
      </c>
      <c r="E32" s="186" t="s">
        <v>306</v>
      </c>
      <c r="F32" s="183">
        <v>46064</v>
      </c>
      <c r="G32" s="183"/>
      <c r="H32" s="181">
        <f t="shared" ref="H32:H42" ca="1" si="10">IF(OR(ISBLANK(F32),(TODAY()-F32)&lt;0,0)," ",TODAY()-F32)</f>
        <v>55</v>
      </c>
      <c r="I32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32" s="387"/>
      <c r="K32" s="184" t="s">
        <v>323</v>
      </c>
      <c r="L32" s="166"/>
    </row>
    <row r="33" spans="1:12" ht="15.75" customHeight="1" x14ac:dyDescent="0.25">
      <c r="A33" s="212">
        <v>32</v>
      </c>
      <c r="B33" s="21" t="s">
        <v>98</v>
      </c>
      <c r="C33" s="21" t="s">
        <v>82</v>
      </c>
      <c r="D33" s="21" t="s">
        <v>391</v>
      </c>
      <c r="E33" s="186" t="s">
        <v>306</v>
      </c>
      <c r="F33" s="183">
        <v>46064</v>
      </c>
      <c r="G33" s="183"/>
      <c r="H33" s="181">
        <f t="shared" ca="1" si="10"/>
        <v>55</v>
      </c>
      <c r="I33" s="189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33" s="393"/>
      <c r="K33" s="192" t="s">
        <v>324</v>
      </c>
      <c r="L33" s="166"/>
    </row>
    <row r="34" spans="1:12" ht="15.75" customHeight="1" x14ac:dyDescent="0.25">
      <c r="A34" s="212">
        <v>33</v>
      </c>
      <c r="B34" s="207" t="s">
        <v>322</v>
      </c>
      <c r="C34" s="21" t="s">
        <v>183</v>
      </c>
      <c r="D34" s="21" t="s">
        <v>391</v>
      </c>
      <c r="E34" s="186" t="s">
        <v>306</v>
      </c>
      <c r="F34" s="183">
        <v>46064</v>
      </c>
      <c r="G34" s="208"/>
      <c r="H34" s="181">
        <f t="shared" ca="1" si="10"/>
        <v>55</v>
      </c>
      <c r="I34" s="210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34" s="391"/>
      <c r="K34" s="228" t="s">
        <v>325</v>
      </c>
      <c r="L34" s="166"/>
    </row>
    <row r="35" spans="1:12" ht="15.75" customHeight="1" x14ac:dyDescent="0.25">
      <c r="A35" s="212">
        <v>34</v>
      </c>
      <c r="B35" s="16" t="s">
        <v>189</v>
      </c>
      <c r="C35" s="16" t="s">
        <v>182</v>
      </c>
      <c r="D35" s="21" t="s">
        <v>391</v>
      </c>
      <c r="E35" s="186" t="s">
        <v>306</v>
      </c>
      <c r="F35" s="183">
        <v>46064</v>
      </c>
      <c r="G35" s="183"/>
      <c r="H35" s="181">
        <f t="shared" ca="1" si="10"/>
        <v>55</v>
      </c>
      <c r="I35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35" s="387"/>
      <c r="K35" s="184" t="s">
        <v>326</v>
      </c>
      <c r="L35" s="166"/>
    </row>
    <row r="36" spans="1:12" ht="15.75" customHeight="1" x14ac:dyDescent="0.25">
      <c r="A36" s="212">
        <v>35</v>
      </c>
      <c r="B36" s="16" t="s">
        <v>216</v>
      </c>
      <c r="C36" s="16" t="s">
        <v>183</v>
      </c>
      <c r="D36" s="21" t="s">
        <v>391</v>
      </c>
      <c r="E36" s="186" t="s">
        <v>306</v>
      </c>
      <c r="F36" s="179">
        <v>46065</v>
      </c>
      <c r="G36" s="183"/>
      <c r="H36" s="181">
        <f t="shared" ca="1" si="10"/>
        <v>54</v>
      </c>
      <c r="I36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36" s="387"/>
      <c r="K36" s="184" t="s">
        <v>337</v>
      </c>
      <c r="L36" s="172"/>
    </row>
    <row r="37" spans="1:12" ht="15.75" customHeight="1" x14ac:dyDescent="0.25">
      <c r="A37" s="212">
        <v>36</v>
      </c>
      <c r="B37" s="16" t="s">
        <v>196</v>
      </c>
      <c r="C37" s="16" t="s">
        <v>182</v>
      </c>
      <c r="D37" s="21" t="s">
        <v>391</v>
      </c>
      <c r="E37" s="186" t="s">
        <v>306</v>
      </c>
      <c r="F37" s="179">
        <v>46065</v>
      </c>
      <c r="G37" s="183"/>
      <c r="H37" s="181">
        <f t="shared" ca="1" si="10"/>
        <v>54</v>
      </c>
      <c r="I37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37" s="387"/>
      <c r="K37" s="184" t="s">
        <v>337</v>
      </c>
      <c r="L37" s="166"/>
    </row>
    <row r="38" spans="1:12" ht="15.75" customHeight="1" x14ac:dyDescent="0.25">
      <c r="A38" s="212">
        <v>37</v>
      </c>
      <c r="B38" s="16" t="s">
        <v>63</v>
      </c>
      <c r="C38" s="16" t="s">
        <v>233</v>
      </c>
      <c r="D38" s="21" t="s">
        <v>391</v>
      </c>
      <c r="E38" s="186" t="s">
        <v>306</v>
      </c>
      <c r="F38" s="187">
        <v>46092</v>
      </c>
      <c r="G38" s="194"/>
      <c r="H38" s="181">
        <f t="shared" ca="1" si="10"/>
        <v>27</v>
      </c>
      <c r="I38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38" s="387"/>
      <c r="K38" s="184" t="s">
        <v>363</v>
      </c>
      <c r="L38" s="170"/>
    </row>
    <row r="39" spans="1:12" ht="15.75" customHeight="1" x14ac:dyDescent="0.25">
      <c r="A39" s="212">
        <v>38</v>
      </c>
      <c r="B39" s="16" t="s">
        <v>225</v>
      </c>
      <c r="C39" s="16" t="s">
        <v>187</v>
      </c>
      <c r="D39" s="21" t="s">
        <v>391</v>
      </c>
      <c r="E39" s="186" t="s">
        <v>306</v>
      </c>
      <c r="F39" s="187">
        <v>46093</v>
      </c>
      <c r="G39" s="194"/>
      <c r="H39" s="181">
        <f t="shared" ca="1" si="10"/>
        <v>26</v>
      </c>
      <c r="I39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39" s="388"/>
      <c r="K39" s="182" t="s">
        <v>364</v>
      </c>
      <c r="L39" s="166"/>
    </row>
    <row r="40" spans="1:12" ht="15.75" customHeight="1" x14ac:dyDescent="0.25">
      <c r="A40" s="212">
        <v>39</v>
      </c>
      <c r="B40" s="16" t="s">
        <v>202</v>
      </c>
      <c r="C40" s="213" t="s">
        <v>55</v>
      </c>
      <c r="D40" s="21" t="s">
        <v>391</v>
      </c>
      <c r="E40" s="186" t="s">
        <v>306</v>
      </c>
      <c r="F40" s="187">
        <v>46093</v>
      </c>
      <c r="G40" s="179"/>
      <c r="H40" s="181">
        <f t="shared" ca="1" si="10"/>
        <v>26</v>
      </c>
      <c r="I40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40" s="387"/>
      <c r="K40" s="184" t="s">
        <v>365</v>
      </c>
      <c r="L40" s="172"/>
    </row>
    <row r="41" spans="1:12" ht="15.75" customHeight="1" x14ac:dyDescent="0.25">
      <c r="A41" s="212">
        <v>40</v>
      </c>
      <c r="B41" s="21" t="s">
        <v>231</v>
      </c>
      <c r="C41" s="16" t="s">
        <v>183</v>
      </c>
      <c r="D41" s="21" t="s">
        <v>391</v>
      </c>
      <c r="E41" s="186" t="s">
        <v>379</v>
      </c>
      <c r="F41" s="183">
        <v>46106</v>
      </c>
      <c r="G41" s="183"/>
      <c r="H41" s="181">
        <f t="shared" ca="1" si="10"/>
        <v>13</v>
      </c>
      <c r="I41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41" s="387"/>
      <c r="K41" s="184" t="s">
        <v>381</v>
      </c>
      <c r="L41" s="166"/>
    </row>
    <row r="42" spans="1:12" ht="15.75" customHeight="1" x14ac:dyDescent="0.25">
      <c r="A42" s="212">
        <v>41</v>
      </c>
      <c r="B42" s="231" t="s">
        <v>380</v>
      </c>
      <c r="C42" s="16" t="s">
        <v>183</v>
      </c>
      <c r="D42" s="21" t="s">
        <v>391</v>
      </c>
      <c r="E42" s="186" t="s">
        <v>379</v>
      </c>
      <c r="F42" s="183">
        <v>46106</v>
      </c>
      <c r="G42" s="232"/>
      <c r="H42" s="181">
        <f t="shared" ca="1" si="10"/>
        <v>13</v>
      </c>
      <c r="I42" s="234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42" s="392"/>
      <c r="K42" s="184" t="s">
        <v>381</v>
      </c>
      <c r="L42" s="166"/>
    </row>
    <row r="43" spans="1:12" ht="15.75" customHeight="1" x14ac:dyDescent="0.25">
      <c r="A43" s="212">
        <v>42</v>
      </c>
      <c r="B43" s="231" t="s">
        <v>371</v>
      </c>
      <c r="C43" s="21" t="s">
        <v>120</v>
      </c>
      <c r="D43" s="21" t="s">
        <v>391</v>
      </c>
      <c r="E43" s="186" t="s">
        <v>379</v>
      </c>
      <c r="F43" s="232">
        <v>46113</v>
      </c>
      <c r="G43" s="232"/>
      <c r="H43" s="233">
        <f ca="1">IF(OR(ISBLANK(F43),(TODAY()-F43)&lt;0,0)," ",TODAY()-F43)</f>
        <v>6</v>
      </c>
      <c r="I43" s="234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43" s="392"/>
      <c r="K43" s="184" t="s">
        <v>383</v>
      </c>
      <c r="L43" s="166"/>
    </row>
    <row r="44" spans="1:12" ht="15.75" customHeight="1" x14ac:dyDescent="0.25">
      <c r="A44" s="212">
        <v>43</v>
      </c>
      <c r="B44" s="196" t="s">
        <v>251</v>
      </c>
      <c r="C44" s="21" t="s">
        <v>45</v>
      </c>
      <c r="D44" s="21" t="s">
        <v>391</v>
      </c>
      <c r="E44" s="186" t="s">
        <v>384</v>
      </c>
      <c r="F44" s="208">
        <v>46113</v>
      </c>
      <c r="G44" s="194"/>
      <c r="H44" s="197">
        <f ca="1">IF(OR(ISBLANK(F44),(TODAY()-F44)&lt;0,0)," ",TODAY()-F44)</f>
        <v>6</v>
      </c>
      <c r="I44" s="195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44" s="390"/>
      <c r="K44" s="182" t="s">
        <v>386</v>
      </c>
      <c r="L44" s="166"/>
    </row>
    <row r="45" spans="1:12" ht="15.75" customHeight="1" x14ac:dyDescent="0.25">
      <c r="A45" s="212">
        <v>44</v>
      </c>
      <c r="B45" s="16" t="s">
        <v>248</v>
      </c>
      <c r="C45" s="16" t="s">
        <v>192</v>
      </c>
      <c r="D45" s="21" t="s">
        <v>391</v>
      </c>
      <c r="E45" s="186" t="s">
        <v>384</v>
      </c>
      <c r="F45" s="179">
        <v>46114</v>
      </c>
      <c r="G45" s="204"/>
      <c r="H45" s="181">
        <f ca="1">IF(OR(ISBLANK(F45),(TODAY()-F45)&lt;0,0)," ",TODAY()-F45)</f>
        <v>5</v>
      </c>
      <c r="I45" s="181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45" s="388"/>
      <c r="K45" s="182" t="s">
        <v>387</v>
      </c>
      <c r="L45" s="171"/>
    </row>
    <row r="46" spans="1:12" ht="15.75" customHeight="1" x14ac:dyDescent="0.25">
      <c r="A46" s="212">
        <v>45</v>
      </c>
      <c r="B46" s="231" t="s">
        <v>385</v>
      </c>
      <c r="C46" s="231" t="s">
        <v>183</v>
      </c>
      <c r="D46" s="21" t="s">
        <v>391</v>
      </c>
      <c r="E46" s="186" t="s">
        <v>384</v>
      </c>
      <c r="F46" s="232">
        <v>46114</v>
      </c>
      <c r="G46" s="232"/>
      <c r="H46" s="233">
        <f t="shared" ref="H46" ca="1" si="11">IF(OR(ISBLANK(F46),(TODAY()-F46)&lt;0,0)," ",TODAY()-F46)</f>
        <v>5</v>
      </c>
      <c r="I46" s="234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46" s="389"/>
      <c r="K46" s="240" t="s">
        <v>388</v>
      </c>
      <c r="L46" s="171"/>
    </row>
    <row r="47" spans="1:12" ht="15.75" customHeight="1" x14ac:dyDescent="0.25">
      <c r="A47" s="212"/>
      <c r="B47" s="196" t="s">
        <v>249</v>
      </c>
      <c r="C47" s="21" t="s">
        <v>45</v>
      </c>
      <c r="D47" s="21" t="s">
        <v>391</v>
      </c>
      <c r="E47" s="186" t="s">
        <v>389</v>
      </c>
      <c r="F47" s="179">
        <v>46109</v>
      </c>
      <c r="G47" s="208"/>
      <c r="H47" s="197">
        <f t="shared" ref="H47:H73" ca="1" si="12">IF(OR(ISBLANK(F47),(TODAY()-F47)&lt;0,0)," ",TODAY()-F47)</f>
        <v>10</v>
      </c>
      <c r="I47" s="195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47" s="390"/>
      <c r="K47" s="182"/>
      <c r="L47" s="166"/>
    </row>
    <row r="48" spans="1:12" ht="18.75" customHeight="1" x14ac:dyDescent="0.25">
      <c r="A48" s="212"/>
      <c r="B48" s="16" t="s">
        <v>232</v>
      </c>
      <c r="C48" s="16" t="s">
        <v>45</v>
      </c>
      <c r="D48" s="16"/>
      <c r="E48" s="186" t="s">
        <v>199</v>
      </c>
      <c r="F48" s="187"/>
      <c r="G48" s="208">
        <v>46098</v>
      </c>
      <c r="H48" s="191" t="str">
        <f ca="1">IF(OR(ISBLANK(F48),(TODAY()-F48)&lt;0,0)," ",TODAY()-F48)</f>
        <v xml:space="preserve"> </v>
      </c>
      <c r="I48" s="181">
        <f ca="1">IF(ISBLANK(Таблица1[[#This Row],[Дата выезда]])," ",IF((TODAY()-Таблица1[[#This Row],[Дата выезда]])&lt;0," ",TODAY()-Таблица1[[#This Row],[Дата выезда]]))</f>
        <v>21</v>
      </c>
      <c r="J48" s="388"/>
      <c r="K48" s="182" t="s">
        <v>368</v>
      </c>
      <c r="L48" s="166"/>
    </row>
    <row r="49" spans="1:12" ht="15.75" customHeight="1" x14ac:dyDescent="0.25">
      <c r="A49" s="212"/>
      <c r="B49" s="16" t="s">
        <v>267</v>
      </c>
      <c r="C49" s="16" t="s">
        <v>187</v>
      </c>
      <c r="D49" s="21"/>
      <c r="E49" s="186" t="s">
        <v>199</v>
      </c>
      <c r="F49" s="179"/>
      <c r="G49" s="190">
        <v>46096</v>
      </c>
      <c r="H49" s="181" t="str">
        <f t="shared" ref="H49:H50" ca="1" si="13">IF(OR(ISBLANK(F49),(TODAY()-F49)&lt;0,0)," ",TODAY()-F49)</f>
        <v xml:space="preserve"> </v>
      </c>
      <c r="I49" s="181">
        <f ca="1">IF(ISBLANK(Таблица1[[#This Row],[Дата выезда]])," ",IF((TODAY()-Таблица1[[#This Row],[Дата выезда]])&lt;0," ",TODAY()-Таблица1[[#This Row],[Дата выезда]]))</f>
        <v>23</v>
      </c>
      <c r="J49" s="387"/>
      <c r="K49" s="184" t="s">
        <v>367</v>
      </c>
      <c r="L49" s="166"/>
    </row>
    <row r="50" spans="1:12" ht="15.75" customHeight="1" x14ac:dyDescent="0.25">
      <c r="A50" s="212"/>
      <c r="B50" s="16" t="s">
        <v>223</v>
      </c>
      <c r="C50" s="16" t="s">
        <v>187</v>
      </c>
      <c r="D50" s="16"/>
      <c r="E50" s="186" t="s">
        <v>199</v>
      </c>
      <c r="F50" s="194"/>
      <c r="G50" s="190">
        <v>46096</v>
      </c>
      <c r="H50" s="188" t="str">
        <f t="shared" ca="1" si="13"/>
        <v xml:space="preserve"> </v>
      </c>
      <c r="I50" s="181">
        <f ca="1">IF(ISBLANK(Таблица1[[#This Row],[Дата выезда]])," ",IF((TODAY()-Таблица1[[#This Row],[Дата выезда]])&lt;0," ",TODAY()-Таблица1[[#This Row],[Дата выезда]]))</f>
        <v>23</v>
      </c>
      <c r="J50" s="388"/>
      <c r="K50" s="182" t="s">
        <v>366</v>
      </c>
      <c r="L50" s="166"/>
    </row>
    <row r="51" spans="1:12" ht="15.75" customHeight="1" x14ac:dyDescent="0.25">
      <c r="A51" s="212"/>
      <c r="B51" s="199" t="s">
        <v>253</v>
      </c>
      <c r="C51" s="21" t="s">
        <v>45</v>
      </c>
      <c r="D51" s="199"/>
      <c r="E51" s="186" t="s">
        <v>199</v>
      </c>
      <c r="F51" s="200"/>
      <c r="G51" s="200">
        <v>46087</v>
      </c>
      <c r="H51" s="201" t="str">
        <f ca="1">IF(OR(ISBLANK(F51),(TODAY()-F51)&lt;0,0)," ",TODAY()-F51)</f>
        <v xml:space="preserve"> </v>
      </c>
      <c r="I51" s="202">
        <f ca="1">IF(ISBLANK(Таблица1[[#This Row],[Дата выезда]])," ",IF((TODAY()-Таблица1[[#This Row],[Дата выезда]])&lt;0," ",TODAY()-Таблица1[[#This Row],[Дата выезда]]))</f>
        <v>32</v>
      </c>
      <c r="J51" s="394"/>
      <c r="K51" s="182" t="s">
        <v>355</v>
      </c>
      <c r="L51" s="171"/>
    </row>
    <row r="52" spans="1:12" ht="15.75" customHeight="1" x14ac:dyDescent="0.25">
      <c r="A52" s="212"/>
      <c r="B52" s="16" t="s">
        <v>185</v>
      </c>
      <c r="C52" s="16" t="s">
        <v>55</v>
      </c>
      <c r="D52" s="214"/>
      <c r="E52" s="186" t="s">
        <v>199</v>
      </c>
      <c r="F52" s="200"/>
      <c r="G52" s="200">
        <v>46087</v>
      </c>
      <c r="H52" s="191" t="str">
        <f t="shared" ref="H52:H53" ca="1" si="14">IF(OR(ISBLANK(F52),(TODAY()-F52)&lt;0,0)," ",TODAY()-F52)</f>
        <v xml:space="preserve"> </v>
      </c>
      <c r="I52" s="181">
        <f ca="1">IF(ISBLANK(Таблица1[[#This Row],[Дата выезда]])," ",IF((TODAY()-Таблица1[[#This Row],[Дата выезда]])&lt;0," ",TODAY()-Таблица1[[#This Row],[Дата выезда]]))</f>
        <v>32</v>
      </c>
      <c r="J52" s="388"/>
      <c r="K52" s="182" t="s">
        <v>356</v>
      </c>
      <c r="L52" s="171"/>
    </row>
    <row r="53" spans="1:12" ht="15.75" customHeight="1" x14ac:dyDescent="0.25">
      <c r="A53" s="212"/>
      <c r="B53" s="16" t="s">
        <v>341</v>
      </c>
      <c r="C53" s="16" t="s">
        <v>218</v>
      </c>
      <c r="D53" s="214"/>
      <c r="E53" s="186" t="s">
        <v>199</v>
      </c>
      <c r="F53" s="200"/>
      <c r="G53" s="200">
        <v>46087</v>
      </c>
      <c r="H53" s="191" t="str">
        <f t="shared" ca="1" si="14"/>
        <v xml:space="preserve"> </v>
      </c>
      <c r="I53" s="181">
        <f ca="1">IF(ISBLANK(Таблица1[[#This Row],[Дата выезда]])," ",IF((TODAY()-Таблица1[[#This Row],[Дата выезда]])&lt;0," ",TODAY()-Таблица1[[#This Row],[Дата выезда]]))</f>
        <v>32</v>
      </c>
      <c r="J53" s="388"/>
      <c r="K53" s="182" t="s">
        <v>357</v>
      </c>
      <c r="L53" s="166"/>
    </row>
    <row r="54" spans="1:12" ht="15.75" customHeight="1" x14ac:dyDescent="0.25">
      <c r="A54" s="212"/>
      <c r="B54" s="21" t="s">
        <v>217</v>
      </c>
      <c r="C54" s="21" t="s">
        <v>45</v>
      </c>
      <c r="D54" s="21"/>
      <c r="E54" s="186" t="s">
        <v>199</v>
      </c>
      <c r="F54" s="208"/>
      <c r="G54" s="208">
        <v>46087</v>
      </c>
      <c r="H54" s="188" t="str">
        <f t="shared" ca="1" si="12"/>
        <v xml:space="preserve"> </v>
      </c>
      <c r="I54" s="185">
        <f ca="1">IF(ISBLANK(Таблица1[[#This Row],[Дата выезда]])," ",IF((TODAY()-Таблица1[[#This Row],[Дата выезда]])&lt;0," ",TODAY()-Таблица1[[#This Row],[Дата выезда]]))</f>
        <v>32</v>
      </c>
      <c r="J54" s="387"/>
      <c r="K54" s="184" t="s">
        <v>358</v>
      </c>
      <c r="L54" s="171"/>
    </row>
    <row r="55" spans="1:12" ht="15.75" customHeight="1" x14ac:dyDescent="0.25">
      <c r="A55" s="212"/>
      <c r="B55" s="196" t="s">
        <v>252</v>
      </c>
      <c r="C55" s="21" t="s">
        <v>45</v>
      </c>
      <c r="D55" s="196"/>
      <c r="E55" s="186" t="s">
        <v>199</v>
      </c>
      <c r="F55" s="208"/>
      <c r="G55" s="194">
        <v>46086</v>
      </c>
      <c r="H55" s="197" t="str">
        <f ca="1">IF(OR(ISBLANK(F55),(TODAY()-F55)&lt;0,0)," ",TODAY()-F55)</f>
        <v xml:space="preserve"> </v>
      </c>
      <c r="I55" s="195">
        <f ca="1">IF(ISBLANK(Таблица1[[#This Row],[Дата выезда]])," ",IF((TODAY()-Таблица1[[#This Row],[Дата выезда]])&lt;0," ",TODAY()-Таблица1[[#This Row],[Дата выезда]]))</f>
        <v>33</v>
      </c>
      <c r="J55" s="390"/>
      <c r="K55" s="182" t="s">
        <v>359</v>
      </c>
      <c r="L55" s="171"/>
    </row>
    <row r="56" spans="1:12" ht="15.75" customHeight="1" x14ac:dyDescent="0.25">
      <c r="A56" s="212"/>
      <c r="B56" s="196" t="s">
        <v>251</v>
      </c>
      <c r="C56" s="21" t="s">
        <v>45</v>
      </c>
      <c r="D56" s="196"/>
      <c r="E56" s="186" t="s">
        <v>199</v>
      </c>
      <c r="F56" s="208"/>
      <c r="G56" s="194">
        <v>46086</v>
      </c>
      <c r="H56" s="197" t="str">
        <f ca="1">IF(OR(ISBLANK(F56),(TODAY()-F56)&lt;0,0)," ",TODAY()-F56)</f>
        <v xml:space="preserve"> </v>
      </c>
      <c r="I56" s="195">
        <f ca="1">IF(ISBLANK(Таблица1[[#This Row],[Дата выезда]])," ",IF((TODAY()-Таблица1[[#This Row],[Дата выезда]])&lt;0," ",TODAY()-Таблица1[[#This Row],[Дата выезда]]))</f>
        <v>33</v>
      </c>
      <c r="J56" s="390"/>
      <c r="K56" s="182" t="s">
        <v>352</v>
      </c>
      <c r="L56" s="166"/>
    </row>
    <row r="57" spans="1:12" ht="15.75" customHeight="1" x14ac:dyDescent="0.25">
      <c r="A57" s="212"/>
      <c r="B57" s="207" t="s">
        <v>282</v>
      </c>
      <c r="C57" s="16" t="s">
        <v>45</v>
      </c>
      <c r="D57" s="207"/>
      <c r="E57" s="186" t="s">
        <v>199</v>
      </c>
      <c r="F57" s="194"/>
      <c r="G57" s="208">
        <v>46086</v>
      </c>
      <c r="H57" s="209" t="str">
        <f ca="1">IF(OR(ISBLANK(F57),(TODAY()-F57)&lt;0,0)," ",TODAY()-F57)</f>
        <v xml:space="preserve"> </v>
      </c>
      <c r="I57" s="210">
        <f ca="1">IF(ISBLANK(Таблица1[[#This Row],[Дата выезда]])," ",IF((TODAY()-Таблица1[[#This Row],[Дата выезда]])&lt;0," ",TODAY()-Таблица1[[#This Row],[Дата выезда]]))</f>
        <v>33</v>
      </c>
      <c r="J57" s="391"/>
      <c r="K57" s="182" t="s">
        <v>353</v>
      </c>
      <c r="L57" s="171"/>
    </row>
    <row r="58" spans="1:12" ht="15.75" customHeight="1" x14ac:dyDescent="0.25">
      <c r="A58" s="212"/>
      <c r="B58" s="203" t="s">
        <v>258</v>
      </c>
      <c r="C58" s="21" t="s">
        <v>45</v>
      </c>
      <c r="D58" s="203"/>
      <c r="E58" s="186" t="s">
        <v>199</v>
      </c>
      <c r="F58" s="194"/>
      <c r="G58" s="208">
        <v>46086</v>
      </c>
      <c r="H58" s="205" t="str">
        <f ca="1">IF(OR(ISBLANK(F58),(TODAY()-F58)&lt;0,0)," ",TODAY()-F58)</f>
        <v xml:space="preserve"> </v>
      </c>
      <c r="I58" s="206">
        <f ca="1">IF(ISBLANK(Таблица1[[#This Row],[Дата выезда]])," ",IF((TODAY()-Таблица1[[#This Row],[Дата выезда]])&lt;0," ",TODAY()-Таблица1[[#This Row],[Дата выезда]]))</f>
        <v>33</v>
      </c>
      <c r="J58" s="395"/>
      <c r="K58" s="228" t="s">
        <v>354</v>
      </c>
      <c r="L58" s="171"/>
    </row>
    <row r="59" spans="1:12" ht="15.75" customHeight="1" x14ac:dyDescent="0.25">
      <c r="A59" s="212"/>
      <c r="B59" s="16" t="s">
        <v>201</v>
      </c>
      <c r="C59" s="16" t="s">
        <v>55</v>
      </c>
      <c r="D59" s="16"/>
      <c r="E59" s="186" t="s">
        <v>199</v>
      </c>
      <c r="F59" s="194"/>
      <c r="G59" s="194">
        <v>46086</v>
      </c>
      <c r="H59" s="191" t="str">
        <f t="shared" ref="H59:H61" ca="1" si="15">IF(OR(ISBLANK(F59),(TODAY()-F59)&lt;0,0)," ",TODAY()-F59)</f>
        <v xml:space="preserve"> </v>
      </c>
      <c r="I59" s="181">
        <f ca="1">IF(ISBLANK(Таблица1[[#This Row],[Дата выезда]])," ",IF((TODAY()-Таблица1[[#This Row],[Дата выезда]])&lt;0," ",TODAY()-Таблица1[[#This Row],[Дата выезда]]))</f>
        <v>33</v>
      </c>
      <c r="J59" s="388"/>
      <c r="K59" s="182" t="s">
        <v>350</v>
      </c>
      <c r="L59" s="171"/>
    </row>
    <row r="60" spans="1:12" ht="15.75" customHeight="1" x14ac:dyDescent="0.25">
      <c r="A60" s="212"/>
      <c r="B60" s="207" t="s">
        <v>268</v>
      </c>
      <c r="C60" s="16" t="s">
        <v>218</v>
      </c>
      <c r="D60" s="207"/>
      <c r="E60" s="186" t="s">
        <v>199</v>
      </c>
      <c r="F60" s="194"/>
      <c r="G60" s="194">
        <v>46086</v>
      </c>
      <c r="H60" s="209" t="str">
        <f t="shared" ca="1" si="15"/>
        <v xml:space="preserve"> </v>
      </c>
      <c r="I60" s="210">
        <f ca="1">IF(ISBLANK(Таблица1[[#This Row],[Дата выезда]])," ",IF((TODAY()-Таблица1[[#This Row],[Дата выезда]])&lt;0," ",TODAY()-Таблица1[[#This Row],[Дата выезда]]))</f>
        <v>33</v>
      </c>
      <c r="J60" s="391"/>
      <c r="K60" s="228" t="s">
        <v>351</v>
      </c>
      <c r="L60" s="171"/>
    </row>
    <row r="61" spans="1:12" ht="15.75" customHeight="1" x14ac:dyDescent="0.25">
      <c r="A61" s="212"/>
      <c r="B61" s="16" t="s">
        <v>271</v>
      </c>
      <c r="C61" s="16" t="s">
        <v>218</v>
      </c>
      <c r="D61" s="21"/>
      <c r="E61" s="186" t="s">
        <v>199</v>
      </c>
      <c r="F61" s="187"/>
      <c r="G61" s="183">
        <v>46086</v>
      </c>
      <c r="H61" s="181" t="str">
        <f t="shared" ca="1" si="15"/>
        <v xml:space="preserve"> </v>
      </c>
      <c r="I61" s="181">
        <f ca="1">IF(ISBLANK(Таблица1[[#This Row],[Дата выезда]])," ",IF((TODAY()-Таблица1[[#This Row],[Дата выезда]])&lt;0," ",TODAY()-Таблица1[[#This Row],[Дата выезда]]))</f>
        <v>33</v>
      </c>
      <c r="J61" s="387"/>
      <c r="K61" s="184" t="s">
        <v>349</v>
      </c>
      <c r="L61" s="166"/>
    </row>
    <row r="62" spans="1:12" ht="15.75" customHeight="1" x14ac:dyDescent="0.25">
      <c r="A62" s="212"/>
      <c r="B62" s="199" t="s">
        <v>254</v>
      </c>
      <c r="C62" s="16" t="s">
        <v>218</v>
      </c>
      <c r="D62" s="199"/>
      <c r="E62" s="186" t="s">
        <v>199</v>
      </c>
      <c r="F62" s="208"/>
      <c r="G62" s="204">
        <v>46086</v>
      </c>
      <c r="H62" s="201" t="str">
        <f t="shared" ca="1" si="12"/>
        <v xml:space="preserve"> </v>
      </c>
      <c r="I62" s="202">
        <f ca="1">IF(ISBLANK(Таблица1[[#This Row],[Дата выезда]])," ",IF((TODAY()-Таблица1[[#This Row],[Дата выезда]])&lt;0," ",TODAY()-Таблица1[[#This Row],[Дата выезда]]))</f>
        <v>33</v>
      </c>
      <c r="J62" s="394"/>
      <c r="K62" s="182" t="s">
        <v>346</v>
      </c>
      <c r="L62" s="166"/>
    </row>
    <row r="63" spans="1:12" ht="15.75" customHeight="1" x14ac:dyDescent="0.25">
      <c r="A63" s="212"/>
      <c r="B63" s="16" t="s">
        <v>209</v>
      </c>
      <c r="C63" s="16" t="s">
        <v>218</v>
      </c>
      <c r="D63" s="229"/>
      <c r="E63" s="186" t="s">
        <v>199</v>
      </c>
      <c r="F63" s="208"/>
      <c r="G63" s="204">
        <v>46086</v>
      </c>
      <c r="H63" s="191" t="str">
        <f t="shared" ca="1" si="12"/>
        <v xml:space="preserve"> </v>
      </c>
      <c r="I63" s="181">
        <f ca="1">IF(ISBLANK(Таблица1[[#This Row],[Дата выезда]])," ",IF((TODAY()-Таблица1[[#This Row],[Дата выезда]])&lt;0," ",TODAY()-Таблица1[[#This Row],[Дата выезда]]))</f>
        <v>33</v>
      </c>
      <c r="J63" s="388"/>
      <c r="K63" s="182" t="s">
        <v>347</v>
      </c>
      <c r="L63" s="166"/>
    </row>
    <row r="64" spans="1:12" ht="15.75" customHeight="1" x14ac:dyDescent="0.25">
      <c r="A64" s="212"/>
      <c r="B64" s="207" t="s">
        <v>281</v>
      </c>
      <c r="C64" s="213" t="s">
        <v>55</v>
      </c>
      <c r="D64" s="207"/>
      <c r="E64" s="186" t="s">
        <v>199</v>
      </c>
      <c r="F64" s="208"/>
      <c r="G64" s="204">
        <v>46086</v>
      </c>
      <c r="H64" s="209" t="str">
        <f ca="1">IF(OR(ISBLANK(F64),(TODAY()-F64)&lt;0,0)," ",TODAY()-F64)</f>
        <v xml:space="preserve"> </v>
      </c>
      <c r="I64" s="210">
        <f ca="1">IF(ISBLANK(Таблица1[[#This Row],[Дата выезда]])," ",IF((TODAY()-Таблица1[[#This Row],[Дата выезда]])&lt;0," ",TODAY()-Таблица1[[#This Row],[Дата выезда]]))</f>
        <v>33</v>
      </c>
      <c r="J64" s="391"/>
      <c r="K64" s="211" t="s">
        <v>348</v>
      </c>
      <c r="L64" s="166"/>
    </row>
    <row r="65" spans="1:12" ht="15.75" customHeight="1" x14ac:dyDescent="0.25">
      <c r="A65" s="212"/>
      <c r="B65" s="16" t="s">
        <v>213</v>
      </c>
      <c r="C65" s="16" t="s">
        <v>218</v>
      </c>
      <c r="D65" s="229"/>
      <c r="E65" s="186" t="s">
        <v>199</v>
      </c>
      <c r="F65" s="187"/>
      <c r="G65" s="194">
        <v>46085</v>
      </c>
      <c r="H65" s="191" t="str">
        <f t="shared" ca="1" si="12"/>
        <v xml:space="preserve"> </v>
      </c>
      <c r="I65" s="181">
        <f ca="1">IF(ISBLANK(Таблица1[[#This Row],[Дата выезда]])," ",IF((TODAY()-Таблица1[[#This Row],[Дата выезда]])&lt;0," ",TODAY()-Таблица1[[#This Row],[Дата выезда]]))</f>
        <v>34</v>
      </c>
      <c r="J65" s="388"/>
      <c r="K65" s="182" t="s">
        <v>345</v>
      </c>
      <c r="L65" s="166"/>
    </row>
    <row r="66" spans="1:12" ht="15.75" customHeight="1" x14ac:dyDescent="0.25">
      <c r="A66" s="212"/>
      <c r="B66" s="16" t="s">
        <v>339</v>
      </c>
      <c r="C66" s="16" t="s">
        <v>218</v>
      </c>
      <c r="D66" s="16"/>
      <c r="E66" s="186" t="s">
        <v>199</v>
      </c>
      <c r="F66" s="194"/>
      <c r="G66" s="194">
        <v>46081</v>
      </c>
      <c r="H66" s="191" t="str">
        <f t="shared" ca="1" si="12"/>
        <v xml:space="preserve"> </v>
      </c>
      <c r="I66" s="181">
        <f ca="1">IF(ISBLANK(Таблица1[[#This Row],[Дата выезда]])," ",IF((TODAY()-Таблица1[[#This Row],[Дата выезда]])&lt;0," ",TODAY()-Таблица1[[#This Row],[Дата выезда]]))</f>
        <v>38</v>
      </c>
      <c r="J66" s="388"/>
      <c r="K66" s="182" t="s">
        <v>340</v>
      </c>
      <c r="L66" s="166"/>
    </row>
    <row r="67" spans="1:12" ht="15.75" customHeight="1" x14ac:dyDescent="0.25">
      <c r="A67" s="212"/>
      <c r="B67" s="16" t="s">
        <v>181</v>
      </c>
      <c r="C67" s="16" t="s">
        <v>187</v>
      </c>
      <c r="D67" s="16"/>
      <c r="E67" s="186" t="s">
        <v>199</v>
      </c>
      <c r="F67" s="183"/>
      <c r="G67" s="183">
        <v>46080</v>
      </c>
      <c r="H67" s="181" t="str">
        <f t="shared" ca="1" si="12"/>
        <v xml:space="preserve"> </v>
      </c>
      <c r="I67" s="181">
        <f ca="1">IF(ISBLANK(Таблица1[[#This Row],[Дата выезда]])," ",IF((TODAY()-Таблица1[[#This Row],[Дата выезда]])&lt;0," ",TODAY()-Таблица1[[#This Row],[Дата выезда]]))</f>
        <v>39</v>
      </c>
      <c r="J67" s="388"/>
      <c r="K67" s="182" t="s">
        <v>360</v>
      </c>
      <c r="L67" s="166"/>
    </row>
    <row r="68" spans="1:12" ht="15.75" customHeight="1" x14ac:dyDescent="0.25">
      <c r="A68" s="212"/>
      <c r="B68" s="16" t="s">
        <v>132</v>
      </c>
      <c r="C68" s="16" t="s">
        <v>218</v>
      </c>
      <c r="D68" s="214"/>
      <c r="E68" s="186" t="s">
        <v>199</v>
      </c>
      <c r="F68" s="208"/>
      <c r="G68" s="200">
        <v>46072</v>
      </c>
      <c r="H68" s="191" t="str">
        <f t="shared" ca="1" si="12"/>
        <v xml:space="preserve"> </v>
      </c>
      <c r="I68" s="181">
        <f ca="1">IF(ISBLANK(Таблица1[[#This Row],[Дата выезда]])," ",IF((TODAY()-Таблица1[[#This Row],[Дата выезда]])&lt;0," ",TODAY()-Таблица1[[#This Row],[Дата выезда]]))</f>
        <v>47</v>
      </c>
      <c r="J68" s="388"/>
      <c r="K68" s="182" t="s">
        <v>338</v>
      </c>
      <c r="L68" s="166"/>
    </row>
    <row r="69" spans="1:12" ht="15.75" customHeight="1" x14ac:dyDescent="0.25">
      <c r="A69" s="212"/>
      <c r="B69" s="207" t="s">
        <v>276</v>
      </c>
      <c r="C69" s="213" t="s">
        <v>55</v>
      </c>
      <c r="D69" s="207"/>
      <c r="E69" s="186" t="s">
        <v>199</v>
      </c>
      <c r="F69" s="208"/>
      <c r="G69" s="208">
        <v>46069</v>
      </c>
      <c r="H69" s="209" t="str">
        <f t="shared" ca="1" si="12"/>
        <v xml:space="preserve"> </v>
      </c>
      <c r="I69" s="210">
        <f ca="1">IF(ISBLANK(Таблица1[[#This Row],[Дата выезда]])," ",IF((TODAY()-Таблица1[[#This Row],[Дата выезда]])&lt;0," ",TODAY()-Таблица1[[#This Row],[Дата выезда]]))</f>
        <v>50</v>
      </c>
      <c r="J69" s="396"/>
      <c r="K69" s="184" t="s">
        <v>335</v>
      </c>
      <c r="L69" s="166"/>
    </row>
    <row r="70" spans="1:12" ht="15.75" customHeight="1" x14ac:dyDescent="0.25">
      <c r="A70" s="212"/>
      <c r="B70" s="199" t="s">
        <v>256</v>
      </c>
      <c r="C70" s="16" t="s">
        <v>218</v>
      </c>
      <c r="D70" s="199"/>
      <c r="E70" s="186" t="s">
        <v>199</v>
      </c>
      <c r="F70" s="208"/>
      <c r="G70" s="208">
        <v>46069</v>
      </c>
      <c r="H70" s="201" t="str">
        <f t="shared" ca="1" si="12"/>
        <v xml:space="preserve"> </v>
      </c>
      <c r="I70" s="202">
        <f ca="1">IF(ISBLANK(Таблица1[[#This Row],[Дата выезда]])," ",IF((TODAY()-Таблица1[[#This Row],[Дата выезда]])&lt;0," ",TODAY()-Таблица1[[#This Row],[Дата выезда]]))</f>
        <v>50</v>
      </c>
      <c r="J70" s="394"/>
      <c r="K70" s="182" t="s">
        <v>336</v>
      </c>
      <c r="L70" s="166"/>
    </row>
    <row r="71" spans="1:12" ht="15.75" customHeight="1" x14ac:dyDescent="0.25">
      <c r="A71" s="212"/>
      <c r="B71" s="16" t="s">
        <v>68</v>
      </c>
      <c r="C71" s="16" t="s">
        <v>187</v>
      </c>
      <c r="D71" s="16"/>
      <c r="E71" s="186" t="s">
        <v>199</v>
      </c>
      <c r="F71" s="179"/>
      <c r="G71" s="180">
        <v>46059</v>
      </c>
      <c r="H71" s="188" t="str">
        <f t="shared" ca="1" si="12"/>
        <v xml:space="preserve"> </v>
      </c>
      <c r="I71" s="181">
        <f ca="1">IF(ISBLANK(Таблица1[[#This Row],[Дата выезда]])," ",IF((TODAY()-Таблица1[[#This Row],[Дата выезда]])&lt;0," ",TODAY()-Таблица1[[#This Row],[Дата выезда]]))</f>
        <v>60</v>
      </c>
      <c r="J71" s="388"/>
      <c r="K71" s="182" t="s">
        <v>327</v>
      </c>
      <c r="L71" s="166"/>
    </row>
    <row r="72" spans="1:12" ht="15.75" customHeight="1" x14ac:dyDescent="0.25">
      <c r="A72" s="212"/>
      <c r="B72" s="16" t="s">
        <v>200</v>
      </c>
      <c r="C72" s="16" t="s">
        <v>55</v>
      </c>
      <c r="D72" s="16"/>
      <c r="E72" s="186" t="s">
        <v>199</v>
      </c>
      <c r="F72" s="194"/>
      <c r="G72" s="194">
        <v>46059</v>
      </c>
      <c r="H72" s="191" t="str">
        <f t="shared" ca="1" si="12"/>
        <v xml:space="preserve"> </v>
      </c>
      <c r="I72" s="181">
        <f ca="1">IF(ISBLANK(Таблица1[[#This Row],[Дата выезда]])," ",IF((TODAY()-Таблица1[[#This Row],[Дата выезда]])&lt;0," ",TODAY()-Таблица1[[#This Row],[Дата выезда]]))</f>
        <v>60</v>
      </c>
      <c r="J72" s="388"/>
      <c r="K72" s="182" t="s">
        <v>321</v>
      </c>
      <c r="L72" s="166"/>
    </row>
    <row r="73" spans="1:12" x14ac:dyDescent="0.25">
      <c r="A73" s="212"/>
      <c r="B73" s="16" t="s">
        <v>226</v>
      </c>
      <c r="C73" s="16" t="s">
        <v>55</v>
      </c>
      <c r="D73" s="21" t="s">
        <v>203</v>
      </c>
      <c r="E73" s="186" t="s">
        <v>199</v>
      </c>
      <c r="F73" s="187"/>
      <c r="G73" s="183">
        <v>46018</v>
      </c>
      <c r="H73" s="181" t="str">
        <f t="shared" ca="1" si="12"/>
        <v xml:space="preserve"> </v>
      </c>
      <c r="I73" s="181">
        <f ca="1">IF(ISBLANK(Таблица1[[#This Row],[Дата выезда]])," ",IF((TODAY()-Таблица1[[#This Row],[Дата выезда]])&lt;0," ",TODAY()-Таблица1[[#This Row],[Дата выезда]]))</f>
        <v>101</v>
      </c>
      <c r="J73" s="387"/>
      <c r="K73" s="184" t="s">
        <v>303</v>
      </c>
      <c r="L73" s="166"/>
    </row>
    <row r="74" spans="1:12" x14ac:dyDescent="0.25">
      <c r="A74" s="212"/>
      <c r="B74" s="16" t="s">
        <v>242</v>
      </c>
      <c r="C74" s="16" t="s">
        <v>187</v>
      </c>
      <c r="D74" s="16"/>
      <c r="E74" s="186" t="s">
        <v>199</v>
      </c>
      <c r="F74" s="194"/>
      <c r="G74" s="194">
        <v>46016</v>
      </c>
      <c r="H74" s="191" t="str">
        <f t="shared" ref="H74" ca="1" si="16">IF(OR(ISBLANK(F74),(TODAY()-F74)&lt;0,0)," ",TODAY()-F74)</f>
        <v xml:space="preserve"> </v>
      </c>
      <c r="I74" s="181">
        <f ca="1">IF(ISBLANK(Таблица1[[#This Row],[Дата выезда]])," ",IF((TODAY()-Таблица1[[#This Row],[Дата выезда]])&lt;0," ",TODAY()-Таблица1[[#This Row],[Дата выезда]]))</f>
        <v>103</v>
      </c>
      <c r="J74" s="388"/>
      <c r="K74" s="182" t="s">
        <v>302</v>
      </c>
      <c r="L74" s="166"/>
    </row>
    <row r="75" spans="1:12" x14ac:dyDescent="0.25">
      <c r="A75" s="212"/>
      <c r="B75" s="203" t="s">
        <v>260</v>
      </c>
      <c r="C75" s="16" t="s">
        <v>218</v>
      </c>
      <c r="D75" s="203"/>
      <c r="E75" s="186" t="s">
        <v>199</v>
      </c>
      <c r="F75" s="204"/>
      <c r="G75" s="200">
        <v>46015</v>
      </c>
      <c r="H75" s="205" t="str">
        <f ca="1">IF(OR(ISBLANK(F75),(TODAY()-F75)&lt;0,0)," ",TODAY()-F75)</f>
        <v xml:space="preserve"> </v>
      </c>
      <c r="I75" s="206">
        <f ca="1">IF(ISBLANK(Таблица1[[#This Row],[Дата выезда]])," ",IF((TODAY()-Таблица1[[#This Row],[Дата выезда]])&lt;0," ",TODAY()-Таблица1[[#This Row],[Дата выезда]]))</f>
        <v>104</v>
      </c>
      <c r="J75" s="395"/>
      <c r="K75" s="182" t="s">
        <v>305</v>
      </c>
      <c r="L75" s="166"/>
    </row>
    <row r="76" spans="1:12" x14ac:dyDescent="0.25">
      <c r="A76" s="212"/>
      <c r="B76" s="207" t="s">
        <v>263</v>
      </c>
      <c r="C76" s="16" t="s">
        <v>55</v>
      </c>
      <c r="D76" s="207"/>
      <c r="E76" s="186" t="s">
        <v>199</v>
      </c>
      <c r="F76" s="194"/>
      <c r="G76" s="208">
        <v>46015</v>
      </c>
      <c r="H76" s="209" t="str">
        <f t="shared" ref="H76" ca="1" si="17">IF(OR(ISBLANK(F76),(TODAY()-F76)&lt;0,0)," ",TODAY()-F76)</f>
        <v xml:space="preserve"> </v>
      </c>
      <c r="I76" s="210">
        <f ca="1">IF(ISBLANK(Таблица1[[#This Row],[Дата выезда]])," ",IF((TODAY()-Таблица1[[#This Row],[Дата выезда]])&lt;0," ",TODAY()-Таблица1[[#This Row],[Дата выезда]]))</f>
        <v>104</v>
      </c>
      <c r="J76" s="391"/>
      <c r="K76" s="211" t="s">
        <v>304</v>
      </c>
      <c r="L76" s="166"/>
    </row>
    <row r="77" spans="1:12" x14ac:dyDescent="0.25">
      <c r="A77" s="212"/>
      <c r="B77" s="199" t="s">
        <v>255</v>
      </c>
      <c r="C77" s="16" t="s">
        <v>218</v>
      </c>
      <c r="D77" s="199"/>
      <c r="E77" s="186" t="s">
        <v>199</v>
      </c>
      <c r="F77" s="208"/>
      <c r="G77" s="208">
        <v>46014</v>
      </c>
      <c r="H77" s="205" t="str">
        <f t="shared" ref="H77" ca="1" si="18">IF(OR(ISBLANK(F77),(TODAY()-F77)&lt;0,0)," ",TODAY()-F77)</f>
        <v xml:space="preserve"> </v>
      </c>
      <c r="I77" s="202">
        <f ca="1">IF(ISBLANK(Таблица1[[#This Row],[Дата выезда]])," ",IF((TODAY()-Таблица1[[#This Row],[Дата выезда]])&lt;0," ",TODAY()-Таблица1[[#This Row],[Дата выезда]]))</f>
        <v>105</v>
      </c>
      <c r="J77" s="394"/>
      <c r="K77" s="182" t="s">
        <v>301</v>
      </c>
      <c r="L77" s="166"/>
    </row>
    <row r="78" spans="1:12" x14ac:dyDescent="0.25">
      <c r="A78" s="212"/>
      <c r="B78" s="207" t="s">
        <v>299</v>
      </c>
      <c r="C78" s="21" t="s">
        <v>45</v>
      </c>
      <c r="D78" s="207"/>
      <c r="E78" s="186" t="s">
        <v>199</v>
      </c>
      <c r="F78" s="200"/>
      <c r="G78" s="208">
        <v>46007</v>
      </c>
      <c r="H78" s="209" t="str">
        <f ca="1">IF(OR(ISBLANK(F78),(TODAY()-F78)&lt;0,0)," ",TODAY()-F78)</f>
        <v xml:space="preserve"> </v>
      </c>
      <c r="I78" s="210">
        <f ca="1">IF(ISBLANK(Таблица1[[#This Row],[Дата выезда]])," ",IF((TODAY()-Таблица1[[#This Row],[Дата выезда]])&lt;0," ",TODAY()-Таблица1[[#This Row],[Дата выезда]]))</f>
        <v>112</v>
      </c>
      <c r="J78" s="391"/>
      <c r="K78" s="211" t="s">
        <v>300</v>
      </c>
      <c r="L78" s="166"/>
    </row>
    <row r="79" spans="1:12" x14ac:dyDescent="0.25">
      <c r="A79" s="212"/>
      <c r="B79" s="16" t="s">
        <v>293</v>
      </c>
      <c r="C79" s="16" t="s">
        <v>218</v>
      </c>
      <c r="D79" s="225"/>
      <c r="E79" s="186" t="s">
        <v>199</v>
      </c>
      <c r="F79" s="190"/>
      <c r="G79" s="183">
        <v>46001</v>
      </c>
      <c r="H79" s="188" t="str">
        <f t="shared" ref="H79:H82" ca="1" si="19">IF(OR(ISBLANK(F79),(TODAY()-F79)&lt;0,0)," ",TODAY()-F79)</f>
        <v xml:space="preserve"> </v>
      </c>
      <c r="I79" s="181">
        <f ca="1">IF(ISBLANK(Таблица1[[#This Row],[Дата выезда]])," ",IF((TODAY()-Таблица1[[#This Row],[Дата выезда]])&lt;0," ",TODAY()-Таблица1[[#This Row],[Дата выезда]]))</f>
        <v>118</v>
      </c>
      <c r="J79" s="388"/>
      <c r="K79" s="182" t="s">
        <v>298</v>
      </c>
      <c r="L79" s="166"/>
    </row>
    <row r="80" spans="1:12" x14ac:dyDescent="0.25">
      <c r="A80" s="212"/>
      <c r="B80" s="207" t="s">
        <v>269</v>
      </c>
      <c r="C80" s="16" t="s">
        <v>218</v>
      </c>
      <c r="D80" s="207"/>
      <c r="E80" s="186" t="s">
        <v>199</v>
      </c>
      <c r="F80" s="208"/>
      <c r="G80" s="183">
        <v>46001</v>
      </c>
      <c r="H80" s="209" t="str">
        <f t="shared" ca="1" si="19"/>
        <v xml:space="preserve"> </v>
      </c>
      <c r="I80" s="210">
        <f ca="1">IF(ISBLANK(Таблица1[[#This Row],[Дата выезда]])," ",IF((TODAY()-Таблица1[[#This Row],[Дата выезда]])&lt;0," ",TODAY()-Таблица1[[#This Row],[Дата выезда]]))</f>
        <v>118</v>
      </c>
      <c r="J80" s="391"/>
      <c r="K80" s="215" t="s">
        <v>297</v>
      </c>
      <c r="L80" s="166"/>
    </row>
    <row r="81" spans="1:12" x14ac:dyDescent="0.25">
      <c r="A81" s="212"/>
      <c r="B81" s="207" t="s">
        <v>283</v>
      </c>
      <c r="C81" s="16" t="s">
        <v>218</v>
      </c>
      <c r="D81" s="207"/>
      <c r="E81" s="186" t="s">
        <v>199</v>
      </c>
      <c r="F81" s="208"/>
      <c r="G81" s="208">
        <v>45990</v>
      </c>
      <c r="H81" s="209" t="str">
        <f t="shared" ca="1" si="19"/>
        <v xml:space="preserve"> </v>
      </c>
      <c r="I81" s="210">
        <f ca="1">IF(ISBLANK(Таблица1[[#This Row],[Дата выезда]])," ",IF((TODAY()-Таблица1[[#This Row],[Дата выезда]])&lt;0," ",TODAY()-Таблица1[[#This Row],[Дата выезда]]))</f>
        <v>129</v>
      </c>
      <c r="J81" s="391"/>
      <c r="K81" s="211" t="s">
        <v>296</v>
      </c>
      <c r="L81" s="166"/>
    </row>
    <row r="82" spans="1:12" x14ac:dyDescent="0.25">
      <c r="A82" s="212"/>
      <c r="B82" s="207" t="s">
        <v>284</v>
      </c>
      <c r="C82" s="16" t="s">
        <v>218</v>
      </c>
      <c r="D82" s="207"/>
      <c r="E82" s="186" t="s">
        <v>199</v>
      </c>
      <c r="F82" s="208"/>
      <c r="G82" s="208">
        <v>45990</v>
      </c>
      <c r="H82" s="209" t="str">
        <f t="shared" ca="1" si="19"/>
        <v xml:space="preserve"> </v>
      </c>
      <c r="I82" s="210">
        <f ca="1">IF(ISBLANK(Таблица1[[#This Row],[Дата выезда]])," ",IF((TODAY()-Таблица1[[#This Row],[Дата выезда]])&lt;0," ",TODAY()-Таблица1[[#This Row],[Дата выезда]]))</f>
        <v>129</v>
      </c>
      <c r="J82" s="391"/>
      <c r="K82" s="211" t="s">
        <v>296</v>
      </c>
      <c r="L82" s="166"/>
    </row>
    <row r="83" spans="1:12" x14ac:dyDescent="0.25">
      <c r="A83" s="212"/>
      <c r="B83" s="203" t="s">
        <v>259</v>
      </c>
      <c r="C83" s="16" t="s">
        <v>218</v>
      </c>
      <c r="D83" s="203"/>
      <c r="E83" s="186" t="s">
        <v>199</v>
      </c>
      <c r="F83" s="204"/>
      <c r="G83" s="204">
        <v>45973</v>
      </c>
      <c r="H83" s="205" t="str">
        <f t="shared" ref="H83:H84" ca="1" si="20">IF(OR(ISBLANK(F83),(TODAY()-F83)&lt;0,0)," ",TODAY()-F83)</f>
        <v xml:space="preserve"> </v>
      </c>
      <c r="I83" s="206">
        <f ca="1">IF(ISBLANK(Таблица1[[#This Row],[Дата выезда]])," ",IF((TODAY()-Таблица1[[#This Row],[Дата выезда]])&lt;0," ",TODAY()-Таблица1[[#This Row],[Дата выезда]]))</f>
        <v>146</v>
      </c>
      <c r="J83" s="395"/>
      <c r="K83" s="182" t="s">
        <v>295</v>
      </c>
      <c r="L83" s="166"/>
    </row>
    <row r="84" spans="1:12" x14ac:dyDescent="0.25">
      <c r="A84" s="212"/>
      <c r="B84" s="207" t="s">
        <v>279</v>
      </c>
      <c r="C84" s="16" t="s">
        <v>218</v>
      </c>
      <c r="D84" s="207"/>
      <c r="E84" s="186" t="s">
        <v>199</v>
      </c>
      <c r="F84" s="208"/>
      <c r="G84" s="204">
        <v>45973</v>
      </c>
      <c r="H84" s="209" t="str">
        <f t="shared" ca="1" si="20"/>
        <v xml:space="preserve"> </v>
      </c>
      <c r="I84" s="210">
        <f ca="1">IF(ISBLANK(Таблица1[[#This Row],[Дата выезда]])," ",IF((TODAY()-Таблица1[[#This Row],[Дата выезда]])&lt;0," ",TODAY()-Таблица1[[#This Row],[Дата выезда]]))</f>
        <v>146</v>
      </c>
      <c r="J84" s="396"/>
      <c r="K84" s="184" t="s">
        <v>294</v>
      </c>
      <c r="L84" s="166"/>
    </row>
    <row r="85" spans="1:12" x14ac:dyDescent="0.25">
      <c r="A85" s="219"/>
      <c r="B85" s="16" t="s">
        <v>230</v>
      </c>
      <c r="C85" s="16" t="s">
        <v>218</v>
      </c>
      <c r="D85" s="16"/>
      <c r="E85" s="186" t="s">
        <v>199</v>
      </c>
      <c r="F85" s="208"/>
      <c r="G85" s="179">
        <v>45952</v>
      </c>
      <c r="H85" s="191" t="str">
        <f t="shared" ref="H85:H92" ca="1" si="21">IF(OR(ISBLANK(F85),(TODAY()-F85)&lt;0,0)," ",TODAY()-F85)</f>
        <v xml:space="preserve"> </v>
      </c>
      <c r="I85" s="181">
        <f ca="1">IF(ISBLANK(Таблица1[[#This Row],[Дата выезда]])," ",IF((TODAY()-Таблица1[[#This Row],[Дата выезда]])&lt;0," ",TODAY()-Таблица1[[#This Row],[Дата выезда]]))</f>
        <v>167</v>
      </c>
      <c r="J85" s="388"/>
      <c r="K85" s="182" t="s">
        <v>292</v>
      </c>
      <c r="L85" s="166"/>
    </row>
    <row r="86" spans="1:12" x14ac:dyDescent="0.25">
      <c r="A86" s="212"/>
      <c r="B86" s="16" t="s">
        <v>214</v>
      </c>
      <c r="C86" s="16" t="s">
        <v>187</v>
      </c>
      <c r="D86" s="16"/>
      <c r="E86" s="186" t="s">
        <v>199</v>
      </c>
      <c r="F86" s="179"/>
      <c r="G86" s="179">
        <v>45948</v>
      </c>
      <c r="H86" s="181" t="str">
        <f t="shared" ca="1" si="21"/>
        <v xml:space="preserve"> </v>
      </c>
      <c r="I86" s="181">
        <f ca="1">IF(ISBLANK(Таблица1[[#This Row],[Дата выезда]])," ",IF((TODAY()-Таблица1[[#This Row],[Дата выезда]])&lt;0," ",TODAY()-Таблица1[[#This Row],[Дата выезда]]))</f>
        <v>171</v>
      </c>
      <c r="J86" s="388"/>
      <c r="K86" s="182" t="s">
        <v>291</v>
      </c>
      <c r="L86" s="166"/>
    </row>
    <row r="87" spans="1:12" x14ac:dyDescent="0.25">
      <c r="A87" s="212"/>
      <c r="B87" s="16" t="s">
        <v>248</v>
      </c>
      <c r="C87" s="16" t="s">
        <v>192</v>
      </c>
      <c r="D87" s="16"/>
      <c r="E87" s="186" t="s">
        <v>199</v>
      </c>
      <c r="F87" s="179"/>
      <c r="G87" s="204">
        <v>45939</v>
      </c>
      <c r="H87" s="181" t="str">
        <f ca="1">IF(OR(ISBLANK(F87),(TODAY()-F87)&lt;0,0)," ",TODAY()-F87)</f>
        <v xml:space="preserve"> </v>
      </c>
      <c r="I87" s="181">
        <f ca="1">IF(ISBLANK(Таблица1[[#This Row],[Дата выезда]])," ",IF((TODAY()-Таблица1[[#This Row],[Дата выезда]])&lt;0," ",TODAY()-Таблица1[[#This Row],[Дата выезда]]))</f>
        <v>180</v>
      </c>
      <c r="J87" s="388"/>
      <c r="K87" s="182" t="s">
        <v>289</v>
      </c>
      <c r="L87" s="166"/>
    </row>
    <row r="88" spans="1:12" x14ac:dyDescent="0.25">
      <c r="A88" s="212"/>
      <c r="B88" s="207" t="s">
        <v>264</v>
      </c>
      <c r="C88" s="16" t="s">
        <v>218</v>
      </c>
      <c r="D88" s="207"/>
      <c r="E88" s="186" t="s">
        <v>199</v>
      </c>
      <c r="F88" s="194"/>
      <c r="G88" s="208">
        <v>45937</v>
      </c>
      <c r="H88" s="209" t="str">
        <f ca="1">IF(OR(ISBLANK(F88),(TODAY()-F88)&lt;0,0)," ",TODAY()-F88)</f>
        <v xml:space="preserve"> </v>
      </c>
      <c r="I88" s="220">
        <f ca="1">IF(ISBLANK(Таблица1[[#This Row],[Дата выезда]])," ",IF((TODAY()-Таблица1[[#This Row],[Дата выезда]])&lt;0," ",TODAY()-Таблица1[[#This Row],[Дата выезда]]))</f>
        <v>182</v>
      </c>
      <c r="J88" s="397"/>
      <c r="K88" s="211" t="s">
        <v>288</v>
      </c>
      <c r="L88" s="166"/>
    </row>
    <row r="89" spans="1:12" x14ac:dyDescent="0.25">
      <c r="A89" s="212"/>
      <c r="B89" s="196" t="s">
        <v>243</v>
      </c>
      <c r="C89" s="16" t="s">
        <v>120</v>
      </c>
      <c r="D89" s="196"/>
      <c r="E89" s="186" t="s">
        <v>199</v>
      </c>
      <c r="F89" s="183"/>
      <c r="G89" s="179">
        <v>45935</v>
      </c>
      <c r="H89" s="197" t="str">
        <f t="shared" ca="1" si="21"/>
        <v xml:space="preserve"> </v>
      </c>
      <c r="I89" s="181">
        <f ca="1">IF(ISBLANK(Таблица1[[#This Row],[Дата выезда]])," ",IF((TODAY()-Таблица1[[#This Row],[Дата выезда]])&lt;0," ",TODAY()-Таблица1[[#This Row],[Дата выезда]]))</f>
        <v>184</v>
      </c>
      <c r="J89" s="388"/>
      <c r="K89" s="182" t="s">
        <v>287</v>
      </c>
      <c r="L89" s="166"/>
    </row>
    <row r="90" spans="1:12" x14ac:dyDescent="0.25">
      <c r="A90" s="212"/>
      <c r="B90" s="196" t="s">
        <v>238</v>
      </c>
      <c r="C90" s="16" t="s">
        <v>239</v>
      </c>
      <c r="D90" s="196"/>
      <c r="E90" s="186" t="s">
        <v>199</v>
      </c>
      <c r="F90" s="194"/>
      <c r="G90" s="183">
        <v>45931</v>
      </c>
      <c r="H90" s="197" t="str">
        <f t="shared" ca="1" si="21"/>
        <v xml:space="preserve"> </v>
      </c>
      <c r="I90" s="195">
        <f ca="1">IF(ISBLANK(Таблица1[[#This Row],[Дата выезда]])," ",IF((TODAY()-Таблица1[[#This Row],[Дата выезда]])&lt;0," ",TODAY()-Таблица1[[#This Row],[Дата выезда]]))</f>
        <v>188</v>
      </c>
      <c r="J90" s="390"/>
      <c r="K90" s="182" t="s">
        <v>285</v>
      </c>
      <c r="L90" s="166"/>
    </row>
    <row r="91" spans="1:12" x14ac:dyDescent="0.25">
      <c r="A91" s="212"/>
      <c r="B91" s="16" t="s">
        <v>191</v>
      </c>
      <c r="C91" s="16" t="s">
        <v>183</v>
      </c>
      <c r="D91" s="21"/>
      <c r="E91" s="186" t="s">
        <v>199</v>
      </c>
      <c r="F91" s="179"/>
      <c r="G91" s="183">
        <v>45931</v>
      </c>
      <c r="H91" s="181" t="str">
        <f t="shared" ca="1" si="21"/>
        <v xml:space="preserve"> </v>
      </c>
      <c r="I91" s="181">
        <f ca="1">IF(ISBLANK(Таблица1[[#This Row],[Дата выезда]])," ",IF((TODAY()-Таблица1[[#This Row],[Дата выезда]])&lt;0," ",TODAY()-Таблица1[[#This Row],[Дата выезда]]))</f>
        <v>188</v>
      </c>
      <c r="J91" s="388"/>
      <c r="K91" s="182" t="s">
        <v>286</v>
      </c>
      <c r="L91" s="166"/>
    </row>
    <row r="92" spans="1:12" x14ac:dyDescent="0.25">
      <c r="A92" s="212"/>
      <c r="B92" s="16" t="s">
        <v>265</v>
      </c>
      <c r="C92" s="16" t="s">
        <v>55</v>
      </c>
      <c r="D92" s="21"/>
      <c r="E92" s="186" t="s">
        <v>199</v>
      </c>
      <c r="F92" s="179"/>
      <c r="G92" s="179">
        <v>45917</v>
      </c>
      <c r="H92" s="181" t="str">
        <f t="shared" ca="1" si="21"/>
        <v xml:space="preserve"> </v>
      </c>
      <c r="I92" s="181">
        <f ca="1">IF(ISBLANK(Таблица1[[#This Row],[Дата выезда]])," ",IF((TODAY()-Таблица1[[#This Row],[Дата выезда]])&lt;0," ",TODAY()-Таблица1[[#This Row],[Дата выезда]]))</f>
        <v>202</v>
      </c>
      <c r="J92" s="387"/>
      <c r="K92" s="184" t="s">
        <v>280</v>
      </c>
      <c r="L92" s="166"/>
    </row>
    <row r="93" spans="1:12" x14ac:dyDescent="0.25">
      <c r="A93" s="212"/>
      <c r="B93" s="193" t="s">
        <v>212</v>
      </c>
      <c r="C93" s="193" t="s">
        <v>182</v>
      </c>
      <c r="D93" s="193"/>
      <c r="E93" s="186" t="s">
        <v>199</v>
      </c>
      <c r="F93" s="187"/>
      <c r="G93" s="180">
        <v>45908</v>
      </c>
      <c r="H93" s="188" t="str">
        <f t="shared" ref="H93:H95" ca="1" si="22">IF(OR(ISBLANK(F93),(TODAY()-F93)&lt;0,0)," ",TODAY()-F93)</f>
        <v xml:space="preserve"> </v>
      </c>
      <c r="I93" s="181">
        <f ca="1">IF(ISBLANK(Таблица1[[#This Row],[Дата выезда]])," ",IF((TODAY()-Таблица1[[#This Row],[Дата выезда]])&lt;0," ",TODAY()-Таблица1[[#This Row],[Дата выезда]]))</f>
        <v>211</v>
      </c>
      <c r="J93" s="387"/>
      <c r="K93" s="184" t="s">
        <v>275</v>
      </c>
      <c r="L93" s="166"/>
    </row>
    <row r="94" spans="1:12" x14ac:dyDescent="0.25">
      <c r="A94" s="212"/>
      <c r="B94" s="193" t="s">
        <v>211</v>
      </c>
      <c r="C94" s="216" t="s">
        <v>183</v>
      </c>
      <c r="D94" s="193"/>
      <c r="E94" s="186" t="s">
        <v>199</v>
      </c>
      <c r="F94" s="187"/>
      <c r="G94" s="180">
        <v>45908</v>
      </c>
      <c r="H94" s="197" t="str">
        <f t="shared" ca="1" si="22"/>
        <v xml:space="preserve"> </v>
      </c>
      <c r="I94" s="181">
        <f ca="1">IF(ISBLANK(Таблица1[[#This Row],[Дата выезда]])," ",IF((TODAY()-Таблица1[[#This Row],[Дата выезда]])&lt;0," ",TODAY()-Таблица1[[#This Row],[Дата выезда]]))</f>
        <v>211</v>
      </c>
      <c r="J94" s="387"/>
      <c r="K94" s="184" t="s">
        <v>275</v>
      </c>
      <c r="L94" s="166"/>
    </row>
    <row r="95" spans="1:12" x14ac:dyDescent="0.25">
      <c r="A95" s="212"/>
      <c r="B95" s="21" t="s">
        <v>208</v>
      </c>
      <c r="C95" s="16" t="s">
        <v>182</v>
      </c>
      <c r="D95" s="21"/>
      <c r="E95" s="186" t="s">
        <v>199</v>
      </c>
      <c r="F95" s="187"/>
      <c r="G95" s="190">
        <v>45901</v>
      </c>
      <c r="H95" s="181" t="str">
        <f t="shared" ca="1" si="22"/>
        <v xml:space="preserve"> </v>
      </c>
      <c r="I95" s="181">
        <f ca="1">IF(ISBLANK(Таблица1[[#This Row],[Дата выезда]])," ",IF((TODAY()-Таблица1[[#This Row],[Дата выезда]])&lt;0," ",TODAY()-Таблица1[[#This Row],[Дата выезда]]))</f>
        <v>218</v>
      </c>
      <c r="J95" s="387"/>
      <c r="K95" s="184" t="s">
        <v>270</v>
      </c>
      <c r="L95" s="166"/>
    </row>
    <row r="96" spans="1:12" x14ac:dyDescent="0.25">
      <c r="A96" s="102"/>
      <c r="B96" s="21" t="s">
        <v>206</v>
      </c>
      <c r="C96" s="16" t="s">
        <v>182</v>
      </c>
      <c r="D96" s="21"/>
      <c r="E96" s="186" t="s">
        <v>199</v>
      </c>
      <c r="F96" s="187"/>
      <c r="G96" s="183">
        <v>45875</v>
      </c>
      <c r="H96" s="181" t="str">
        <f t="shared" ref="H96" ca="1" si="23">IF(OR(ISBLANK(F96),(TODAY()-F96)&lt;0,0)," ",TODAY()-F96)</f>
        <v xml:space="preserve"> </v>
      </c>
      <c r="I96" s="181">
        <f ca="1">IF(ISBLANK(Таблица1[[#This Row],[Дата выезда]])," ",IF((TODAY()-Таблица1[[#This Row],[Дата выезда]])&lt;0," ",TODAY()-Таблица1[[#This Row],[Дата выезда]]))</f>
        <v>244</v>
      </c>
      <c r="J96" s="388"/>
      <c r="K96" s="182" t="s">
        <v>262</v>
      </c>
      <c r="L96" s="166"/>
    </row>
    <row r="97" spans="1:12" x14ac:dyDescent="0.25">
      <c r="A97" s="102"/>
      <c r="B97" s="16" t="s">
        <v>180</v>
      </c>
      <c r="C97" s="16" t="s">
        <v>221</v>
      </c>
      <c r="D97" s="21"/>
      <c r="E97" s="186" t="s">
        <v>199</v>
      </c>
      <c r="F97" s="179"/>
      <c r="G97" s="179">
        <v>45854</v>
      </c>
      <c r="H97" s="181" t="str">
        <f ca="1">IF(OR(ISBLANK(F97),(TODAY()-F97)&lt;0,0)," ",TODAY()-F97)</f>
        <v xml:space="preserve"> </v>
      </c>
      <c r="I97" s="181">
        <f ca="1">IF(ISBLANK(Таблица1[[#This Row],[Дата выезда]])," ",IF((TODAY()-Таблица1[[#This Row],[Дата выезда]])&lt;0," ",TODAY()-Таблица1[[#This Row],[Дата выезда]]))</f>
        <v>265</v>
      </c>
      <c r="J97" s="387"/>
      <c r="K97" s="184" t="s">
        <v>261</v>
      </c>
      <c r="L97" s="166"/>
    </row>
    <row r="98" spans="1:12" x14ac:dyDescent="0.25">
      <c r="A98" s="102"/>
      <c r="B98" s="16" t="s">
        <v>229</v>
      </c>
      <c r="C98" s="16" t="s">
        <v>55</v>
      </c>
      <c r="D98" s="16"/>
      <c r="E98" s="186" t="s">
        <v>199</v>
      </c>
      <c r="F98" s="179"/>
      <c r="G98" s="183">
        <v>45845</v>
      </c>
      <c r="H98" s="191" t="str">
        <f t="shared" ref="H98" ca="1" si="24">IF(OR(ISBLANK(F98),(TODAY()-F98)&lt;0,0)," ",TODAY()-F98)</f>
        <v xml:space="preserve"> </v>
      </c>
      <c r="I98" s="181">
        <f ca="1">IF(ISBLANK(Таблица1[[#This Row],[Дата выезда]])," ",IF((TODAY()-Таблица1[[#This Row],[Дата выезда]])&lt;0," ",TODAY()-Таблица1[[#This Row],[Дата выезда]]))</f>
        <v>274</v>
      </c>
      <c r="J98" s="388"/>
      <c r="K98" s="182" t="s">
        <v>257</v>
      </c>
      <c r="L98" s="166"/>
    </row>
    <row r="99" spans="1:12" x14ac:dyDescent="0.25">
      <c r="A99" s="102"/>
      <c r="B99" s="198" t="s">
        <v>222</v>
      </c>
      <c r="C99" s="16" t="s">
        <v>182</v>
      </c>
      <c r="D99" s="198"/>
      <c r="E99" s="186" t="s">
        <v>199</v>
      </c>
      <c r="F99" s="179"/>
      <c r="G99" s="183">
        <v>45806</v>
      </c>
      <c r="H99" s="197" t="str">
        <f t="shared" ref="H99" ca="1" si="25">IF(OR(ISBLANK(F99),(TODAY()-F99)&lt;0,0)," ",TODAY()-F99)</f>
        <v xml:space="preserve"> </v>
      </c>
      <c r="I99" s="181">
        <f ca="1">IF(ISBLANK(Таблица1[[#This Row],[Дата выезда]])," ",IF((TODAY()-Таблица1[[#This Row],[Дата выезда]])&lt;0," ",TODAY()-Таблица1[[#This Row],[Дата выезда]]))</f>
        <v>313</v>
      </c>
      <c r="J99" s="388"/>
      <c r="K99" s="182" t="s">
        <v>250</v>
      </c>
      <c r="L99" s="166"/>
    </row>
    <row r="100" spans="1:12" x14ac:dyDescent="0.25">
      <c r="A100" s="102"/>
      <c r="B100" s="16" t="s">
        <v>240</v>
      </c>
      <c r="C100" s="16" t="s">
        <v>241</v>
      </c>
      <c r="D100" s="21"/>
      <c r="E100" s="186" t="s">
        <v>199</v>
      </c>
      <c r="F100" s="179"/>
      <c r="G100" s="179">
        <v>45791</v>
      </c>
      <c r="H100" s="181" t="str">
        <f t="shared" ref="H100" ca="1" si="26">IF(OR(ISBLANK(F100),(TODAY()-F100)&lt;0,0)," ",TODAY()-F100)</f>
        <v xml:space="preserve"> </v>
      </c>
      <c r="I100" s="181">
        <f ca="1">IF(ISBLANK(Таблица1[[#This Row],[Дата выезда]])," ",IF((TODAY()-Таблица1[[#This Row],[Дата выезда]])&lt;0," ",TODAY()-Таблица1[[#This Row],[Дата выезда]]))</f>
        <v>328</v>
      </c>
      <c r="J100" s="387"/>
      <c r="K100" s="184" t="s">
        <v>247</v>
      </c>
      <c r="L100" s="166"/>
    </row>
    <row r="101" spans="1:12" x14ac:dyDescent="0.25">
      <c r="A101" s="219"/>
      <c r="B101" s="217" t="s">
        <v>272</v>
      </c>
      <c r="C101" s="217" t="s">
        <v>55</v>
      </c>
      <c r="D101" s="217"/>
      <c r="E101" s="218" t="s">
        <v>199</v>
      </c>
      <c r="F101" s="221"/>
      <c r="G101" s="221"/>
      <c r="H101" s="222" t="str">
        <f t="shared" ref="H101:H103" ca="1" si="27">IF(OR(ISBLANK(F101),(TODAY()-F101)&lt;0,0)," ",TODAY()-F101)</f>
        <v xml:space="preserve"> </v>
      </c>
      <c r="I101" s="223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01" s="398"/>
      <c r="K101" s="224" t="s">
        <v>278</v>
      </c>
      <c r="L101" s="166"/>
    </row>
    <row r="102" spans="1:12" x14ac:dyDescent="0.25">
      <c r="A102" s="219"/>
      <c r="B102" s="217" t="s">
        <v>273</v>
      </c>
      <c r="C102" s="217" t="s">
        <v>218</v>
      </c>
      <c r="D102" s="217"/>
      <c r="E102" s="218" t="s">
        <v>199</v>
      </c>
      <c r="F102" s="221"/>
      <c r="G102" s="221"/>
      <c r="H102" s="222" t="str">
        <f t="shared" ca="1" si="27"/>
        <v xml:space="preserve"> </v>
      </c>
      <c r="I102" s="223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02" s="398"/>
      <c r="K102" s="224" t="s">
        <v>278</v>
      </c>
      <c r="L102" s="166"/>
    </row>
    <row r="103" spans="1:12" x14ac:dyDescent="0.25">
      <c r="A103" s="219"/>
      <c r="B103" s="217" t="s">
        <v>274</v>
      </c>
      <c r="C103" s="217" t="s">
        <v>218</v>
      </c>
      <c r="D103" s="217"/>
      <c r="E103" s="218" t="s">
        <v>199</v>
      </c>
      <c r="F103" s="221"/>
      <c r="G103" s="221"/>
      <c r="H103" s="222" t="str">
        <f t="shared" ca="1" si="27"/>
        <v xml:space="preserve"> </v>
      </c>
      <c r="I103" s="223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03" s="398"/>
      <c r="K103" s="224" t="s">
        <v>278</v>
      </c>
      <c r="L103" s="166"/>
    </row>
    <row r="104" spans="1:12" x14ac:dyDescent="0.25">
      <c r="A104" s="219"/>
      <c r="B104" s="217" t="s">
        <v>277</v>
      </c>
      <c r="C104" s="217" t="s">
        <v>218</v>
      </c>
      <c r="D104" s="217"/>
      <c r="E104" s="218" t="s">
        <v>199</v>
      </c>
      <c r="F104" s="221"/>
      <c r="G104" s="221"/>
      <c r="H104" s="222" t="str">
        <f t="shared" ref="H104" ca="1" si="28">IF(OR(ISBLANK(F104),(TODAY()-F104)&lt;0,0)," ",TODAY()-F104)</f>
        <v xml:space="preserve"> </v>
      </c>
      <c r="I104" s="223" t="str">
        <f ca="1">IF(ISBLANK(Таблица1[[#This Row],[Дата выезда]])," ",IF((TODAY()-Таблица1[[#This Row],[Дата выезда]])&lt;0," ",TODAY()-Таблица1[[#This Row],[Дата выезда]]))</f>
        <v xml:space="preserve"> </v>
      </c>
      <c r="J104" s="398"/>
      <c r="K104" s="224" t="s">
        <v>278</v>
      </c>
      <c r="L104" s="166"/>
    </row>
    <row r="105" spans="1:12" x14ac:dyDescent="0.25">
      <c r="A105" s="173"/>
      <c r="B105" s="174"/>
      <c r="C105" s="174"/>
      <c r="D105" s="174"/>
      <c r="E105" s="175"/>
      <c r="F105" s="176"/>
      <c r="G105" s="176"/>
      <c r="H105" s="177"/>
      <c r="I105" s="178"/>
      <c r="J105" s="178"/>
      <c r="K105" s="173"/>
      <c r="L105" s="166"/>
    </row>
    <row r="106" spans="1:12" x14ac:dyDescent="0.25">
      <c r="L106" s="166"/>
    </row>
    <row r="107" spans="1:12" x14ac:dyDescent="0.25">
      <c r="L107" s="166"/>
    </row>
    <row r="108" spans="1:12" x14ac:dyDescent="0.25">
      <c r="L108" s="166"/>
    </row>
    <row r="109" spans="1:12" x14ac:dyDescent="0.25">
      <c r="L109" s="166"/>
    </row>
    <row r="110" spans="1:12" x14ac:dyDescent="0.25">
      <c r="L110" s="166"/>
    </row>
    <row r="111" spans="1:12" x14ac:dyDescent="0.25">
      <c r="L111" s="166"/>
    </row>
    <row r="112" spans="1:12" x14ac:dyDescent="0.25">
      <c r="L112" s="166"/>
    </row>
    <row r="113" spans="12:12" x14ac:dyDescent="0.25">
      <c r="L113" s="166"/>
    </row>
    <row r="114" spans="12:12" x14ac:dyDescent="0.25">
      <c r="L114" s="166"/>
    </row>
    <row r="115" spans="12:12" ht="13.5" customHeight="1" x14ac:dyDescent="0.25">
      <c r="L115" s="166"/>
    </row>
    <row r="116" spans="12:12" x14ac:dyDescent="0.25">
      <c r="L116" s="166"/>
    </row>
    <row r="117" spans="12:12" x14ac:dyDescent="0.25">
      <c r="L117" s="166"/>
    </row>
    <row r="118" spans="12:12" x14ac:dyDescent="0.25">
      <c r="L118" s="166"/>
    </row>
    <row r="119" spans="12:12" ht="15.75" customHeight="1" x14ac:dyDescent="0.25">
      <c r="L119" s="166"/>
    </row>
    <row r="120" spans="12:12" x14ac:dyDescent="0.25">
      <c r="L120" s="166"/>
    </row>
    <row r="121" spans="12:12" x14ac:dyDescent="0.25">
      <c r="L121" s="166"/>
    </row>
    <row r="122" spans="12:12" x14ac:dyDescent="0.25">
      <c r="L122" s="166"/>
    </row>
    <row r="123" spans="12:12" x14ac:dyDescent="0.25">
      <c r="L123" s="166"/>
    </row>
    <row r="124" spans="12:12" x14ac:dyDescent="0.25">
      <c r="L124" s="166"/>
    </row>
    <row r="125" spans="12:12" x14ac:dyDescent="0.25">
      <c r="L125" s="166"/>
    </row>
    <row r="126" spans="12:12" x14ac:dyDescent="0.25">
      <c r="L126" s="166"/>
    </row>
    <row r="127" spans="12:12" x14ac:dyDescent="0.25">
      <c r="L127" s="166"/>
    </row>
    <row r="128" spans="12:12" x14ac:dyDescent="0.25">
      <c r="L128" s="166"/>
    </row>
    <row r="129" spans="12:12" x14ac:dyDescent="0.25">
      <c r="L129" s="166"/>
    </row>
    <row r="130" spans="12:12" x14ac:dyDescent="0.25">
      <c r="L130" s="166"/>
    </row>
    <row r="131" spans="12:12" x14ac:dyDescent="0.25">
      <c r="L131" s="166"/>
    </row>
    <row r="132" spans="12:12" x14ac:dyDescent="0.25">
      <c r="L132" s="166"/>
    </row>
    <row r="133" spans="12:12" x14ac:dyDescent="0.25">
      <c r="L133" s="166"/>
    </row>
  </sheetData>
  <phoneticPr fontId="14" type="noConversion"/>
  <conditionalFormatting sqref="I56:J57 I60:J60 I80:J84 I97:J97">
    <cfRule type="containsText" dxfId="84" priority="1517" operator="containsText" text="опережение плана">
      <formula>NOT(ISERROR(SEARCH("опережение плана",I56)))</formula>
    </cfRule>
    <cfRule type="containsText" dxfId="83" priority="1518" operator="containsText" text="срок выполнения задачи вышел">
      <formula>NOT(ISERROR(SEARCH("срок выполнения задачи вышел",I56)))</formula>
    </cfRule>
    <cfRule type="containsText" dxfId="82" priority="1519" operator="containsText" text="задержка на">
      <formula>NOT(ISERROR(SEARCH("задержка на",I56)))</formula>
    </cfRule>
    <cfRule type="containsText" dxfId="81" priority="1520" operator="containsText" text="задержек нет">
      <formula>NOT(ISERROR(SEARCH("задержек нет",I56)))</formula>
    </cfRule>
  </conditionalFormatting>
  <conditionalFormatting sqref="I3:J3 I24:I26 I34:J34 I42:J42 I101:J104 I4:I5 J5 J7 J9 J11 J13 J15 J17 J19 J21 J23 J25 J27 I29:J30">
    <cfRule type="containsText" dxfId="80" priority="7425" operator="containsText" text="опережение плана">
      <formula>NOT(ISERROR(SEARCH("опережение плана",I3)))</formula>
    </cfRule>
  </conditionalFormatting>
  <conditionalFormatting sqref="I3:J3 I24:I26 I34:J34 I42:J42 I101:J104 I4:I5 J5 J7 J9 J11 J13 J15 J17 J19 J21 J23 J25 J27 I29:J30">
    <cfRule type="containsText" dxfId="79" priority="7426" operator="containsText" text="срок выполнения задачи вышел">
      <formula>NOT(ISERROR(SEARCH("срок выполнения задачи вышел",I3)))</formula>
    </cfRule>
    <cfRule type="containsText" dxfId="78" priority="7427" operator="containsText" text="задержка на">
      <formula>NOT(ISERROR(SEARCH("задержка на",I3)))</formula>
    </cfRule>
    <cfRule type="containsText" dxfId="77" priority="7428" operator="containsText" text="задержек нет">
      <formula>NOT(ISERROR(SEARCH("задержек нет",I3)))</formula>
    </cfRule>
  </conditionalFormatting>
  <conditionalFormatting sqref="I2:J2 J4 J6 J8 J10 J12 J14 J16 J18 J20 J22 J24 J26 J28">
    <cfRule type="containsText" dxfId="76" priority="1525" operator="containsText" text="опережение плана">
      <formula>NOT(ISERROR(SEARCH("опережение плана",I2)))</formula>
    </cfRule>
    <cfRule type="containsText" dxfId="75" priority="1526" operator="containsText" text="срок выполнения задачи вышел">
      <formula>NOT(ISERROR(SEARCH("срок выполнения задачи вышел",I2)))</formula>
    </cfRule>
    <cfRule type="containsText" dxfId="74" priority="1527" operator="containsText" text="задержка на">
      <formula>NOT(ISERROR(SEARCH("задержка на",I2)))</formula>
    </cfRule>
    <cfRule type="containsText" dxfId="73" priority="1528" operator="containsText" text="задержек нет">
      <formula>NOT(ISERROR(SEARCH("задержек нет",I2)))</formula>
    </cfRule>
  </conditionalFormatting>
  <conditionalFormatting sqref="I6:I23">
    <cfRule type="containsText" dxfId="72" priority="365" operator="containsText" text="опережение плана">
      <formula>NOT(ISERROR(SEARCH("опережение плана",I6)))</formula>
    </cfRule>
    <cfRule type="containsText" dxfId="71" priority="366" operator="containsText" text="срок выполнения задачи вышел">
      <formula>NOT(ISERROR(SEARCH("срок выполнения задачи вышел",I6)))</formula>
    </cfRule>
    <cfRule type="containsText" dxfId="70" priority="367" operator="containsText" text="задержка на">
      <formula>NOT(ISERROR(SEARCH("задержка на",I6)))</formula>
    </cfRule>
    <cfRule type="containsText" dxfId="69" priority="368" operator="containsText" text="задержек нет">
      <formula>NOT(ISERROR(SEARCH("задержек нет",I6)))</formula>
    </cfRule>
  </conditionalFormatting>
  <conditionalFormatting sqref="I27:I28">
    <cfRule type="containsText" dxfId="68" priority="53" operator="containsText" text="опережение плана">
      <formula>NOT(ISERROR(SEARCH("опережение плана",I27)))</formula>
    </cfRule>
    <cfRule type="containsText" dxfId="67" priority="54" operator="containsText" text="срок выполнения задачи вышел">
      <formula>NOT(ISERROR(SEARCH("срок выполнения задачи вышел",I27)))</formula>
    </cfRule>
    <cfRule type="containsText" dxfId="66" priority="55" operator="containsText" text="задержка на">
      <formula>NOT(ISERROR(SEARCH("задержка на",I27)))</formula>
    </cfRule>
    <cfRule type="containsText" dxfId="65" priority="56" operator="containsText" text="задержек нет">
      <formula>NOT(ISERROR(SEARCH("задержек нет",I27)))</formula>
    </cfRule>
  </conditionalFormatting>
  <conditionalFormatting sqref="I31:J33">
    <cfRule type="containsText" dxfId="64" priority="45" operator="containsText" text="опережение плана">
      <formula>NOT(ISERROR(SEARCH("опережение плана",I31)))</formula>
    </cfRule>
    <cfRule type="containsText" dxfId="63" priority="46" operator="containsText" text="срок выполнения задачи вышел">
      <formula>NOT(ISERROR(SEARCH("срок выполнения задачи вышел",I31)))</formula>
    </cfRule>
    <cfRule type="containsText" dxfId="62" priority="47" operator="containsText" text="задержка на">
      <formula>NOT(ISERROR(SEARCH("задержка на",I31)))</formula>
    </cfRule>
    <cfRule type="containsText" dxfId="61" priority="48" operator="containsText" text="задержек нет">
      <formula>NOT(ISERROR(SEARCH("задержек нет",I31)))</formula>
    </cfRule>
  </conditionalFormatting>
  <conditionalFormatting sqref="I35:J41">
    <cfRule type="containsText" dxfId="60" priority="33" operator="containsText" text="опережение плана">
      <formula>NOT(ISERROR(SEARCH("опережение плана",I35)))</formula>
    </cfRule>
    <cfRule type="containsText" dxfId="59" priority="34" operator="containsText" text="срок выполнения задачи вышел">
      <formula>NOT(ISERROR(SEARCH("срок выполнения задачи вышел",I35)))</formula>
    </cfRule>
    <cfRule type="containsText" dxfId="58" priority="35" operator="containsText" text="задержка на">
      <formula>NOT(ISERROR(SEARCH("задержка на",I35)))</formula>
    </cfRule>
    <cfRule type="containsText" dxfId="57" priority="36" operator="containsText" text="задержек нет">
      <formula>NOT(ISERROR(SEARCH("задержек нет",I35)))</formula>
    </cfRule>
  </conditionalFormatting>
  <conditionalFormatting sqref="I43:J50">
    <cfRule type="containsText" dxfId="56" priority="9" operator="containsText" text="опережение плана">
      <formula>NOT(ISERROR(SEARCH("опережение плана",I43)))</formula>
    </cfRule>
    <cfRule type="containsText" dxfId="55" priority="10" operator="containsText" text="срок выполнения задачи вышел">
      <formula>NOT(ISERROR(SEARCH("срок выполнения задачи вышел",I43)))</formula>
    </cfRule>
    <cfRule type="containsText" dxfId="54" priority="11" operator="containsText" text="задержка на">
      <formula>NOT(ISERROR(SEARCH("задержка на",I43)))</formula>
    </cfRule>
    <cfRule type="containsText" dxfId="53" priority="12" operator="containsText" text="задержек нет">
      <formula>NOT(ISERROR(SEARCH("задержек нет",I43)))</formula>
    </cfRule>
  </conditionalFormatting>
  <conditionalFormatting sqref="I50:J53">
    <cfRule type="containsText" dxfId="52" priority="89" operator="containsText" text="опережение плана">
      <formula>NOT(ISERROR(SEARCH("опережение плана",I50)))</formula>
    </cfRule>
    <cfRule type="containsText" dxfId="51" priority="90" operator="containsText" text="срок выполнения задачи вышел">
      <formula>NOT(ISERROR(SEARCH("срок выполнения задачи вышел",I50)))</formula>
    </cfRule>
    <cfRule type="containsText" dxfId="50" priority="91" operator="containsText" text="задержка на">
      <formula>NOT(ISERROR(SEARCH("задержка на",I50)))</formula>
    </cfRule>
    <cfRule type="containsText" dxfId="49" priority="92" operator="containsText" text="задержек нет">
      <formula>NOT(ISERROR(SEARCH("задержек нет",I50)))</formula>
    </cfRule>
  </conditionalFormatting>
  <conditionalFormatting sqref="I52:J52">
    <cfRule type="containsText" dxfId="48" priority="149" operator="containsText" text="опережение плана">
      <formula>NOT(ISERROR(SEARCH("опережение плана",I52)))</formula>
    </cfRule>
    <cfRule type="containsText" dxfId="47" priority="150" operator="containsText" text="срок выполнения задачи вышел">
      <formula>NOT(ISERROR(SEARCH("срок выполнения задачи вышел",I52)))</formula>
    </cfRule>
    <cfRule type="containsText" dxfId="46" priority="151" operator="containsText" text="задержка на">
      <formula>NOT(ISERROR(SEARCH("задержка на",I52)))</formula>
    </cfRule>
    <cfRule type="containsText" dxfId="45" priority="152" operator="containsText" text="задержек нет">
      <formula>NOT(ISERROR(SEARCH("задержек нет",I52)))</formula>
    </cfRule>
  </conditionalFormatting>
  <conditionalFormatting sqref="I55:J55">
    <cfRule type="containsText" dxfId="44" priority="169" operator="containsText" text="опережение плана">
      <formula>NOT(ISERROR(SEARCH("опережение плана",I55)))</formula>
    </cfRule>
    <cfRule type="containsText" dxfId="43" priority="170" operator="containsText" text="срок выполнения задачи вышел">
      <formula>NOT(ISERROR(SEARCH("срок выполнения задачи вышел",I55)))</formula>
    </cfRule>
    <cfRule type="containsText" dxfId="42" priority="171" operator="containsText" text="задержка на">
      <formula>NOT(ISERROR(SEARCH("задержка на",I55)))</formula>
    </cfRule>
    <cfRule type="containsText" dxfId="41" priority="172" operator="containsText" text="задержек нет">
      <formula>NOT(ISERROR(SEARCH("задержек нет",I55)))</formula>
    </cfRule>
  </conditionalFormatting>
  <conditionalFormatting sqref="I58:J59">
    <cfRule type="containsText" dxfId="40" priority="177" operator="containsText" text="опережение плана">
      <formula>NOT(ISERROR(SEARCH("опережение плана",I58)))</formula>
    </cfRule>
    <cfRule type="containsText" dxfId="39" priority="178" operator="containsText" text="срок выполнения задачи вышел">
      <formula>NOT(ISERROR(SEARCH("срок выполнения задачи вышел",I58)))</formula>
    </cfRule>
    <cfRule type="containsText" dxfId="38" priority="179" operator="containsText" text="задержка на">
      <formula>NOT(ISERROR(SEARCH("задержка на",I58)))</formula>
    </cfRule>
    <cfRule type="containsText" dxfId="37" priority="180" operator="containsText" text="задержек нет">
      <formula>NOT(ISERROR(SEARCH("задержек нет",I58)))</formula>
    </cfRule>
  </conditionalFormatting>
  <conditionalFormatting sqref="I61:J79">
    <cfRule type="containsText" dxfId="36" priority="125" operator="containsText" text="опережение плана">
      <formula>NOT(ISERROR(SEARCH("опережение плана",I61)))</formula>
    </cfRule>
    <cfRule type="containsText" dxfId="35" priority="126" operator="containsText" text="срок выполнения задачи вышел">
      <formula>NOT(ISERROR(SEARCH("срок выполнения задачи вышел",I61)))</formula>
    </cfRule>
    <cfRule type="containsText" dxfId="34" priority="127" operator="containsText" text="задержка на">
      <formula>NOT(ISERROR(SEARCH("задержка на",I61)))</formula>
    </cfRule>
    <cfRule type="containsText" dxfId="33" priority="128" operator="containsText" text="задержек нет">
      <formula>NOT(ISERROR(SEARCH("задержек нет",I61)))</formula>
    </cfRule>
  </conditionalFormatting>
  <conditionalFormatting sqref="I85:J89">
    <cfRule type="containsText" dxfId="32" priority="1465" operator="containsText" text="опережение плана">
      <formula>NOT(ISERROR(SEARCH("опережение плана",I85)))</formula>
    </cfRule>
    <cfRule type="containsText" dxfId="31" priority="1466" operator="containsText" text="срок выполнения задачи вышел">
      <formula>NOT(ISERROR(SEARCH("срок выполнения задачи вышел",I85)))</formula>
    </cfRule>
    <cfRule type="containsText" dxfId="30" priority="1467" operator="containsText" text="задержка на">
      <formula>NOT(ISERROR(SEARCH("задержка на",I85)))</formula>
    </cfRule>
    <cfRule type="containsText" dxfId="29" priority="1468" operator="containsText" text="задержек нет">
      <formula>NOT(ISERROR(SEARCH("задержек нет",I85)))</formula>
    </cfRule>
  </conditionalFormatting>
  <conditionalFormatting sqref="I86:J86">
    <cfRule type="containsText" dxfId="28" priority="1461" operator="containsText" text="опережение плана">
      <formula>NOT(ISERROR(SEARCH("опережение плана",I86)))</formula>
    </cfRule>
    <cfRule type="containsText" dxfId="27" priority="1462" operator="containsText" text="срок выполнения задачи вышел">
      <formula>NOT(ISERROR(SEARCH("срок выполнения задачи вышел",I86)))</formula>
    </cfRule>
    <cfRule type="containsText" dxfId="26" priority="1463" operator="containsText" text="задержка на">
      <formula>NOT(ISERROR(SEARCH("задержка на",I86)))</formula>
    </cfRule>
    <cfRule type="containsText" dxfId="25" priority="1464" operator="containsText" text="задержек нет">
      <formula>NOT(ISERROR(SEARCH("задержек нет",I86)))</formula>
    </cfRule>
  </conditionalFormatting>
  <conditionalFormatting sqref="I90:J96">
    <cfRule type="containsText" dxfId="24" priority="1781" operator="containsText" text="опережение плана">
      <formula>NOT(ISERROR(SEARCH("опережение плана",I90)))</formula>
    </cfRule>
    <cfRule type="containsText" dxfId="23" priority="1782" operator="containsText" text="срок выполнения задачи вышел">
      <formula>NOT(ISERROR(SEARCH("срок выполнения задачи вышел",I90)))</formula>
    </cfRule>
    <cfRule type="containsText" dxfId="22" priority="1783" operator="containsText" text="задержка на">
      <formula>NOT(ISERROR(SEARCH("задержка на",I90)))</formula>
    </cfRule>
    <cfRule type="containsText" dxfId="21" priority="1784" operator="containsText" text="задержек нет">
      <formula>NOT(ISERROR(SEARCH("задержек нет",I90)))</formula>
    </cfRule>
  </conditionalFormatting>
  <conditionalFormatting sqref="I91:J91">
    <cfRule type="containsText" dxfId="20" priority="1777" operator="containsText" text="опережение плана">
      <formula>NOT(ISERROR(SEARCH("опережение плана",I91)))</formula>
    </cfRule>
    <cfRule type="containsText" dxfId="19" priority="1778" operator="containsText" text="срок выполнения задачи вышел">
      <formula>NOT(ISERROR(SEARCH("срок выполнения задачи вышел",I91)))</formula>
    </cfRule>
    <cfRule type="containsText" dxfId="18" priority="1779" operator="containsText" text="задержка на">
      <formula>NOT(ISERROR(SEARCH("задержка на",I91)))</formula>
    </cfRule>
    <cfRule type="containsText" dxfId="17" priority="1780" operator="containsText" text="задержек нет">
      <formula>NOT(ISERROR(SEARCH("задержек нет",I91)))</formula>
    </cfRule>
  </conditionalFormatting>
  <conditionalFormatting sqref="I98:J100">
    <cfRule type="containsText" dxfId="16" priority="3053" operator="containsText" text="опережение плана">
      <formula>NOT(ISERROR(SEARCH("опережение плана",I98)))</formula>
    </cfRule>
    <cfRule type="containsText" dxfId="15" priority="3054" operator="containsText" text="срок выполнения задачи вышел">
      <formula>NOT(ISERROR(SEARCH("срок выполнения задачи вышел",I98)))</formula>
    </cfRule>
    <cfRule type="containsText" dxfId="14" priority="3055" operator="containsText" text="задержка на">
      <formula>NOT(ISERROR(SEARCH("задержка на",I98)))</formula>
    </cfRule>
    <cfRule type="containsText" dxfId="13" priority="3056" operator="containsText" text="задержек нет">
      <formula>NOT(ISERROR(SEARCH("задержек нет",I98)))</formula>
    </cfRule>
  </conditionalFormatting>
  <conditionalFormatting sqref="M11:AS16 M19:AS23">
    <cfRule type="expression" dxfId="12" priority="11061">
      <formula>AND(M$1&gt;=#REF!,M$1&lt;(#REF!+#REF!))</formula>
    </cfRule>
  </conditionalFormatting>
  <conditionalFormatting sqref="M24:AS28">
    <cfRule type="expression" dxfId="11" priority="12989">
      <formula>AND(M$1&gt;=#REF!,M$1&lt;(#REF!+#REF!))</formula>
    </cfRule>
  </conditionalFormatting>
  <conditionalFormatting sqref="M11:AS16 M19:AS28">
    <cfRule type="expression" dxfId="10" priority="14631">
      <formula>AND(#REF!&gt;=M$1,#REF!&lt;N$1)</formula>
    </cfRule>
  </conditionalFormatting>
  <conditionalFormatting sqref="AQ11:AS16 AQ19:AS28">
    <cfRule type="expression" dxfId="9" priority="14633">
      <formula>AND(#REF!&gt;=AQ$1,#REF!&lt;#REF!)</formula>
    </cfRule>
    <cfRule type="expression" dxfId="8" priority="14634">
      <formula>AND(AQ$1&gt;=#REF!,AQ$1&lt;=(#REF!+#REF!))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1"/>
  <sheetViews>
    <sheetView topLeftCell="C16" zoomScale="115" zoomScaleNormal="115" workbookViewId="0">
      <selection activeCell="C5" sqref="C5:H17"/>
    </sheetView>
  </sheetViews>
  <sheetFormatPr defaultRowHeight="15" x14ac:dyDescent="0.25"/>
  <cols>
    <col min="1" max="1" width="16.28515625" style="45" hidden="1" customWidth="1"/>
    <col min="2" max="2" width="13" style="45" hidden="1" customWidth="1"/>
    <col min="3" max="3" width="18.42578125" style="45" customWidth="1"/>
    <col min="4" max="4" width="23.140625" style="45" bestFit="1" customWidth="1"/>
    <col min="5" max="5" width="16.42578125" style="45" bestFit="1" customWidth="1"/>
    <col min="6" max="6" width="23.5703125" style="45" customWidth="1"/>
    <col min="7" max="7" width="23.28515625" style="4" customWidth="1"/>
    <col min="8" max="8" width="14" style="87" customWidth="1"/>
    <col min="9" max="9" width="17" style="107" bestFit="1" customWidth="1"/>
    <col min="10" max="10" width="21.42578125" bestFit="1" customWidth="1"/>
    <col min="14" max="15" width="11.7109375" bestFit="1" customWidth="1"/>
  </cols>
  <sheetData>
    <row r="1" spans="1:11" x14ac:dyDescent="0.25">
      <c r="A1" s="158"/>
      <c r="B1" s="4"/>
      <c r="C1" s="259" t="s">
        <v>174</v>
      </c>
      <c r="D1" s="259"/>
      <c r="E1" s="259"/>
      <c r="F1" s="259"/>
      <c r="G1" s="259"/>
      <c r="H1" s="259"/>
      <c r="I1" s="259"/>
    </row>
    <row r="2" spans="1:11" ht="15.75" x14ac:dyDescent="0.25">
      <c r="A2" s="158"/>
      <c r="B2" s="4"/>
      <c r="C2" s="160" t="s">
        <v>173</v>
      </c>
      <c r="D2" s="159">
        <f ca="1">TODAY()-1</f>
        <v>46118</v>
      </c>
      <c r="E2" s="4"/>
      <c r="F2" s="4"/>
    </row>
    <row r="3" spans="1:11" ht="15.75" thickBot="1" x14ac:dyDescent="0.3">
      <c r="A3" s="260" t="s">
        <v>92</v>
      </c>
      <c r="B3" s="261"/>
      <c r="C3" s="261"/>
      <c r="D3" s="261"/>
      <c r="E3" s="261"/>
      <c r="F3" s="261"/>
      <c r="G3" s="261"/>
      <c r="H3" s="261"/>
      <c r="I3" s="261"/>
    </row>
    <row r="4" spans="1:11" ht="29.25" thickBot="1" x14ac:dyDescent="0.3">
      <c r="A4" s="99" t="s">
        <v>1</v>
      </c>
      <c r="B4" s="97" t="s">
        <v>72</v>
      </c>
      <c r="C4" s="108" t="s">
        <v>21</v>
      </c>
      <c r="D4" s="108" t="s">
        <v>3</v>
      </c>
      <c r="E4" s="109" t="s">
        <v>33</v>
      </c>
      <c r="F4" s="110" t="s">
        <v>149</v>
      </c>
      <c r="G4" s="111" t="s">
        <v>150</v>
      </c>
      <c r="H4" s="112" t="s">
        <v>151</v>
      </c>
      <c r="I4" s="87"/>
    </row>
    <row r="5" spans="1:11" ht="15" customHeight="1" x14ac:dyDescent="0.25">
      <c r="A5" s="274"/>
      <c r="B5" s="270" t="s">
        <v>44</v>
      </c>
      <c r="C5" s="254" t="s">
        <v>140</v>
      </c>
      <c r="D5" s="119" t="s">
        <v>111</v>
      </c>
      <c r="E5" s="119" t="s">
        <v>45</v>
      </c>
      <c r="F5" s="120">
        <v>44379</v>
      </c>
      <c r="G5" s="120">
        <f ca="1">D2</f>
        <v>46118</v>
      </c>
      <c r="H5" s="121">
        <f ca="1">G5-F5</f>
        <v>1739</v>
      </c>
      <c r="I5" s="135" t="s">
        <v>170</v>
      </c>
    </row>
    <row r="6" spans="1:11" x14ac:dyDescent="0.25">
      <c r="A6" s="275"/>
      <c r="B6" s="242"/>
      <c r="C6" s="255"/>
      <c r="D6" s="116" t="s">
        <v>131</v>
      </c>
      <c r="E6" s="116" t="s">
        <v>53</v>
      </c>
      <c r="F6" s="117">
        <v>44403</v>
      </c>
      <c r="G6" s="117">
        <f ca="1">D2</f>
        <v>46118</v>
      </c>
      <c r="H6" s="104">
        <f t="shared" ref="H6:H32" ca="1" si="0">G6-F6</f>
        <v>1715</v>
      </c>
      <c r="I6" s="136" t="s">
        <v>171</v>
      </c>
    </row>
    <row r="7" spans="1:11" x14ac:dyDescent="0.25">
      <c r="A7" s="275"/>
      <c r="B7" s="242"/>
      <c r="C7" s="255"/>
      <c r="D7" s="116" t="s">
        <v>132</v>
      </c>
      <c r="E7" s="116" t="s">
        <v>133</v>
      </c>
      <c r="F7" s="117">
        <v>44403</v>
      </c>
      <c r="G7" s="117">
        <f ca="1">D2</f>
        <v>46118</v>
      </c>
      <c r="H7" s="104">
        <f t="shared" ca="1" si="0"/>
        <v>1715</v>
      </c>
      <c r="I7" s="136"/>
    </row>
    <row r="8" spans="1:11" ht="15.75" thickBot="1" x14ac:dyDescent="0.3">
      <c r="A8" s="276"/>
      <c r="B8" s="247"/>
      <c r="C8" s="255"/>
      <c r="D8" s="116" t="s">
        <v>134</v>
      </c>
      <c r="E8" s="116" t="s">
        <v>53</v>
      </c>
      <c r="F8" s="117">
        <v>44407</v>
      </c>
      <c r="G8" s="117">
        <f ca="1">D2</f>
        <v>46118</v>
      </c>
      <c r="H8" s="104">
        <f t="shared" ca="1" si="0"/>
        <v>1711</v>
      </c>
      <c r="I8" s="136"/>
    </row>
    <row r="9" spans="1:11" x14ac:dyDescent="0.25">
      <c r="A9" s="257"/>
      <c r="B9" s="241" t="s">
        <v>44</v>
      </c>
      <c r="C9" s="255"/>
      <c r="D9" s="116" t="s">
        <v>109</v>
      </c>
      <c r="E9" s="116" t="s">
        <v>45</v>
      </c>
      <c r="F9" s="117">
        <v>44403</v>
      </c>
      <c r="G9" s="117">
        <f ca="1">D2</f>
        <v>46118</v>
      </c>
      <c r="H9" s="104">
        <f t="shared" ca="1" si="0"/>
        <v>1715</v>
      </c>
      <c r="I9" s="136"/>
    </row>
    <row r="10" spans="1:11" x14ac:dyDescent="0.25">
      <c r="A10" s="258"/>
      <c r="B10" s="242"/>
      <c r="C10" s="255"/>
      <c r="D10" s="113" t="s">
        <v>135</v>
      </c>
      <c r="E10" s="113" t="s">
        <v>53</v>
      </c>
      <c r="F10" s="114">
        <v>44379</v>
      </c>
      <c r="G10" s="114">
        <f ca="1">D2</f>
        <v>46118</v>
      </c>
      <c r="H10" s="103">
        <f t="shared" ca="1" si="0"/>
        <v>1739</v>
      </c>
      <c r="I10" s="136"/>
    </row>
    <row r="11" spans="1:11" ht="15.75" thickBot="1" x14ac:dyDescent="0.3">
      <c r="A11" s="277"/>
      <c r="B11" s="247"/>
      <c r="C11" s="255"/>
      <c r="D11" s="113" t="s">
        <v>136</v>
      </c>
      <c r="E11" s="113" t="s">
        <v>133</v>
      </c>
      <c r="F11" s="114">
        <v>44379</v>
      </c>
      <c r="G11" s="114">
        <f ca="1">D2</f>
        <v>46118</v>
      </c>
      <c r="H11" s="103">
        <f t="shared" ca="1" si="0"/>
        <v>1739</v>
      </c>
      <c r="I11" s="136"/>
    </row>
    <row r="12" spans="1:11" x14ac:dyDescent="0.25">
      <c r="A12" s="257"/>
      <c r="B12" s="241" t="s">
        <v>44</v>
      </c>
      <c r="C12" s="255"/>
      <c r="D12" s="116" t="s">
        <v>110</v>
      </c>
      <c r="E12" s="116" t="s">
        <v>45</v>
      </c>
      <c r="F12" s="117">
        <v>44403</v>
      </c>
      <c r="G12" s="117">
        <f ca="1">D2</f>
        <v>46118</v>
      </c>
      <c r="H12" s="104">
        <f t="shared" ca="1" si="0"/>
        <v>1715</v>
      </c>
      <c r="I12" s="136"/>
    </row>
    <row r="13" spans="1:11" x14ac:dyDescent="0.25">
      <c r="A13" s="258"/>
      <c r="B13" s="242"/>
      <c r="C13" s="255"/>
      <c r="D13" s="116" t="s">
        <v>137</v>
      </c>
      <c r="E13" s="116" t="s">
        <v>120</v>
      </c>
      <c r="F13" s="117">
        <v>44403</v>
      </c>
      <c r="G13" s="117">
        <f ca="1">D2</f>
        <v>46118</v>
      </c>
      <c r="H13" s="104">
        <f t="shared" ca="1" si="0"/>
        <v>1715</v>
      </c>
      <c r="I13" s="136"/>
    </row>
    <row r="14" spans="1:11" ht="14.45" customHeight="1" x14ac:dyDescent="0.25">
      <c r="A14" s="258"/>
      <c r="B14" s="242"/>
      <c r="C14" s="255"/>
      <c r="D14" s="116" t="s">
        <v>75</v>
      </c>
      <c r="E14" s="116" t="s">
        <v>138</v>
      </c>
      <c r="F14" s="117">
        <v>44403</v>
      </c>
      <c r="G14" s="117">
        <f ca="1">D2</f>
        <v>46118</v>
      </c>
      <c r="H14" s="104">
        <f t="shared" ca="1" si="0"/>
        <v>1715</v>
      </c>
      <c r="I14" s="136"/>
    </row>
    <row r="15" spans="1:11" ht="15.75" thickBot="1" x14ac:dyDescent="0.3">
      <c r="A15" s="258"/>
      <c r="B15" s="242"/>
      <c r="C15" s="255"/>
      <c r="D15" s="116" t="s">
        <v>101</v>
      </c>
      <c r="E15" s="116" t="s">
        <v>139</v>
      </c>
      <c r="F15" s="117">
        <v>44403</v>
      </c>
      <c r="G15" s="117">
        <f ca="1">D2</f>
        <v>46118</v>
      </c>
      <c r="H15" s="104">
        <f t="shared" ca="1" si="0"/>
        <v>1715</v>
      </c>
      <c r="I15" s="136"/>
      <c r="J15" s="83"/>
      <c r="K15" s="83"/>
    </row>
    <row r="16" spans="1:11" x14ac:dyDescent="0.25">
      <c r="A16" s="249"/>
      <c r="B16" s="241" t="s">
        <v>44</v>
      </c>
      <c r="C16" s="255"/>
      <c r="D16" s="116" t="s">
        <v>107</v>
      </c>
      <c r="E16" s="116" t="s">
        <v>45</v>
      </c>
      <c r="F16" s="117">
        <v>44403</v>
      </c>
      <c r="G16" s="117">
        <f ca="1">D2</f>
        <v>46118</v>
      </c>
      <c r="H16" s="104">
        <f t="shared" ca="1" si="0"/>
        <v>1715</v>
      </c>
      <c r="I16" s="136"/>
      <c r="J16" s="83"/>
      <c r="K16" s="83"/>
    </row>
    <row r="17" spans="1:11" ht="15.75" thickBot="1" x14ac:dyDescent="0.3">
      <c r="A17" s="246"/>
      <c r="B17" s="242"/>
      <c r="C17" s="256"/>
      <c r="D17" s="122" t="s">
        <v>165</v>
      </c>
      <c r="E17" s="122" t="s">
        <v>166</v>
      </c>
      <c r="F17" s="123">
        <v>44394</v>
      </c>
      <c r="G17" s="117">
        <f ca="1">D2</f>
        <v>46118</v>
      </c>
      <c r="H17" s="124">
        <f t="shared" ca="1" si="0"/>
        <v>1724</v>
      </c>
      <c r="I17" s="137"/>
      <c r="J17" s="83"/>
      <c r="K17" s="83"/>
    </row>
    <row r="18" spans="1:11" ht="15" customHeight="1" x14ac:dyDescent="0.25">
      <c r="A18" s="264"/>
      <c r="B18" s="241" t="s">
        <v>44</v>
      </c>
      <c r="C18" s="271" t="s">
        <v>84</v>
      </c>
      <c r="D18" s="138" t="s">
        <v>154</v>
      </c>
      <c r="E18" s="138" t="s">
        <v>45</v>
      </c>
      <c r="F18" s="139">
        <v>44407</v>
      </c>
      <c r="G18" s="155">
        <v>44463</v>
      </c>
      <c r="H18" s="140">
        <f t="shared" si="0"/>
        <v>56</v>
      </c>
      <c r="I18" s="135"/>
      <c r="J18" s="83"/>
      <c r="K18" s="83"/>
    </row>
    <row r="19" spans="1:11" x14ac:dyDescent="0.25">
      <c r="A19" s="265"/>
      <c r="B19" s="242"/>
      <c r="C19" s="272"/>
      <c r="D19" s="105" t="s">
        <v>147</v>
      </c>
      <c r="E19" s="105" t="s">
        <v>142</v>
      </c>
      <c r="F19" s="117">
        <v>44402</v>
      </c>
      <c r="G19" s="156">
        <v>44463</v>
      </c>
      <c r="H19" s="118">
        <f t="shared" si="0"/>
        <v>61</v>
      </c>
      <c r="I19" s="136"/>
      <c r="J19" s="83"/>
      <c r="K19" s="83"/>
    </row>
    <row r="20" spans="1:11" ht="15" customHeight="1" x14ac:dyDescent="0.25">
      <c r="A20" s="266"/>
      <c r="B20" s="268"/>
      <c r="C20" s="272"/>
      <c r="D20" s="105" t="s">
        <v>155</v>
      </c>
      <c r="E20" s="105" t="s">
        <v>163</v>
      </c>
      <c r="F20" s="117">
        <v>44402</v>
      </c>
      <c r="G20" s="156">
        <v>44463</v>
      </c>
      <c r="H20" s="118">
        <f t="shared" si="0"/>
        <v>61</v>
      </c>
      <c r="I20" s="136"/>
      <c r="J20" s="33"/>
      <c r="K20" s="33"/>
    </row>
    <row r="21" spans="1:11" ht="15.75" thickBot="1" x14ac:dyDescent="0.3">
      <c r="A21" s="267"/>
      <c r="B21" s="247"/>
      <c r="C21" s="272"/>
      <c r="D21" s="116" t="s">
        <v>103</v>
      </c>
      <c r="E21" s="116" t="s">
        <v>5</v>
      </c>
      <c r="F21" s="117">
        <v>44402</v>
      </c>
      <c r="G21" s="156">
        <v>44463</v>
      </c>
      <c r="H21" s="118">
        <f t="shared" si="0"/>
        <v>61</v>
      </c>
      <c r="I21" s="136"/>
      <c r="J21" s="84"/>
    </row>
    <row r="22" spans="1:11" ht="15" customHeight="1" x14ac:dyDescent="0.25">
      <c r="A22" s="269"/>
      <c r="B22" s="270" t="s">
        <v>145</v>
      </c>
      <c r="C22" s="272"/>
      <c r="D22" s="125" t="s">
        <v>141</v>
      </c>
      <c r="E22" s="125" t="s">
        <v>45</v>
      </c>
      <c r="F22" s="126">
        <v>44437</v>
      </c>
      <c r="G22" s="126">
        <f ca="1">D2</f>
        <v>46118</v>
      </c>
      <c r="H22" s="127">
        <f t="shared" ca="1" si="0"/>
        <v>1681</v>
      </c>
      <c r="I22" s="136" t="s">
        <v>172</v>
      </c>
      <c r="J22" s="84"/>
    </row>
    <row r="23" spans="1:11" ht="15" customHeight="1" x14ac:dyDescent="0.25">
      <c r="A23" s="269"/>
      <c r="B23" s="270"/>
      <c r="C23" s="272"/>
      <c r="D23" s="125" t="s">
        <v>159</v>
      </c>
      <c r="E23" s="125" t="s">
        <v>160</v>
      </c>
      <c r="F23" s="126">
        <v>44437</v>
      </c>
      <c r="G23" s="126">
        <f ca="1">D2</f>
        <v>46118</v>
      </c>
      <c r="H23" s="127">
        <f t="shared" ca="1" si="0"/>
        <v>1681</v>
      </c>
      <c r="I23" s="136"/>
      <c r="J23" s="84"/>
    </row>
    <row r="24" spans="1:11" ht="15" customHeight="1" x14ac:dyDescent="0.25">
      <c r="A24" s="269"/>
      <c r="B24" s="270"/>
      <c r="C24" s="272"/>
      <c r="D24" s="125" t="s">
        <v>52</v>
      </c>
      <c r="E24" s="125" t="s">
        <v>161</v>
      </c>
      <c r="F24" s="126">
        <v>44437</v>
      </c>
      <c r="G24" s="126">
        <f ca="1">D2</f>
        <v>46118</v>
      </c>
      <c r="H24" s="127">
        <f t="shared" ca="1" si="0"/>
        <v>1681</v>
      </c>
      <c r="I24" s="136"/>
      <c r="J24" s="84"/>
    </row>
    <row r="25" spans="1:11" ht="15" customHeight="1" x14ac:dyDescent="0.25">
      <c r="A25" s="269"/>
      <c r="B25" s="270"/>
      <c r="C25" s="272"/>
      <c r="D25" s="125" t="s">
        <v>158</v>
      </c>
      <c r="E25" s="125" t="s">
        <v>162</v>
      </c>
      <c r="F25" s="126">
        <v>44437</v>
      </c>
      <c r="G25" s="126">
        <f ca="1">D2</f>
        <v>46118</v>
      </c>
      <c r="H25" s="127">
        <f t="shared" ca="1" si="0"/>
        <v>1681</v>
      </c>
      <c r="I25" s="136"/>
      <c r="J25" s="84"/>
    </row>
    <row r="26" spans="1:11" ht="15" customHeight="1" x14ac:dyDescent="0.25">
      <c r="A26" s="269"/>
      <c r="B26" s="270"/>
      <c r="C26" s="272"/>
      <c r="D26" s="125" t="s">
        <v>157</v>
      </c>
      <c r="E26" s="125" t="s">
        <v>163</v>
      </c>
      <c r="F26" s="126">
        <v>44437</v>
      </c>
      <c r="G26" s="126">
        <f ca="1">D2</f>
        <v>46118</v>
      </c>
      <c r="H26" s="127">
        <f t="shared" ca="1" si="0"/>
        <v>1681</v>
      </c>
      <c r="I26" s="136"/>
      <c r="J26" s="84"/>
    </row>
    <row r="27" spans="1:11" x14ac:dyDescent="0.25">
      <c r="A27" s="246"/>
      <c r="B27" s="242"/>
      <c r="C27" s="272"/>
      <c r="D27" s="128" t="s">
        <v>59</v>
      </c>
      <c r="E27" s="128" t="s">
        <v>53</v>
      </c>
      <c r="F27" s="114">
        <v>44367</v>
      </c>
      <c r="G27" s="156">
        <v>44463</v>
      </c>
      <c r="H27" s="115">
        <f t="shared" si="0"/>
        <v>96</v>
      </c>
      <c r="I27" s="136"/>
      <c r="J27" s="84"/>
    </row>
    <row r="28" spans="1:11" ht="15.75" thickBot="1" x14ac:dyDescent="0.3">
      <c r="A28" s="248"/>
      <c r="B28" s="247"/>
      <c r="C28" s="273"/>
      <c r="D28" s="141" t="s">
        <v>156</v>
      </c>
      <c r="E28" s="141" t="s">
        <v>133</v>
      </c>
      <c r="F28" s="142">
        <v>44367</v>
      </c>
      <c r="G28" s="157">
        <v>44463</v>
      </c>
      <c r="H28" s="143">
        <f t="shared" si="0"/>
        <v>96</v>
      </c>
      <c r="I28" s="137"/>
    </row>
    <row r="29" spans="1:11" x14ac:dyDescent="0.25">
      <c r="A29" s="262"/>
      <c r="B29" s="241" t="s">
        <v>44</v>
      </c>
      <c r="C29" s="254" t="s">
        <v>83</v>
      </c>
      <c r="D29" s="147" t="s">
        <v>146</v>
      </c>
      <c r="E29" s="147" t="s">
        <v>45</v>
      </c>
      <c r="F29" s="148">
        <v>44379</v>
      </c>
      <c r="G29" s="149">
        <f ca="1">D2</f>
        <v>46118</v>
      </c>
      <c r="H29" s="150">
        <f t="shared" ca="1" si="0"/>
        <v>1739</v>
      </c>
      <c r="I29" s="135"/>
    </row>
    <row r="30" spans="1:11" ht="15" customHeight="1" x14ac:dyDescent="0.25">
      <c r="A30" s="263"/>
      <c r="B30" s="242"/>
      <c r="C30" s="255"/>
      <c r="D30" s="113" t="s">
        <v>164</v>
      </c>
      <c r="E30" s="113" t="s">
        <v>120</v>
      </c>
      <c r="F30" s="132">
        <v>44379</v>
      </c>
      <c r="G30" s="114">
        <f ca="1">D2</f>
        <v>46118</v>
      </c>
      <c r="H30" s="115">
        <f t="shared" ca="1" si="0"/>
        <v>1739</v>
      </c>
      <c r="I30" s="161" t="s">
        <v>13</v>
      </c>
    </row>
    <row r="31" spans="1:11" ht="15" customHeight="1" thickBot="1" x14ac:dyDescent="0.3">
      <c r="A31" s="263"/>
      <c r="B31" s="242"/>
      <c r="C31" s="255"/>
      <c r="D31" s="151" t="s">
        <v>168</v>
      </c>
      <c r="E31" s="151" t="s">
        <v>169</v>
      </c>
      <c r="F31" s="152">
        <v>44445</v>
      </c>
      <c r="G31" s="153">
        <f ca="1">D2</f>
        <v>46118</v>
      </c>
      <c r="H31" s="154">
        <f t="shared" ca="1" si="0"/>
        <v>1673</v>
      </c>
      <c r="I31" s="136"/>
    </row>
    <row r="32" spans="1:11" x14ac:dyDescent="0.25">
      <c r="A32" s="251"/>
      <c r="B32" s="241" t="s">
        <v>44</v>
      </c>
      <c r="C32" s="255"/>
      <c r="D32" s="113" t="s">
        <v>143</v>
      </c>
      <c r="E32" s="113" t="s">
        <v>45</v>
      </c>
      <c r="F32" s="132">
        <v>44379</v>
      </c>
      <c r="G32" s="114">
        <f ca="1">D2</f>
        <v>46118</v>
      </c>
      <c r="H32" s="115">
        <f t="shared" ca="1" si="0"/>
        <v>1739</v>
      </c>
      <c r="I32" s="136"/>
    </row>
    <row r="33" spans="1:15" x14ac:dyDescent="0.25">
      <c r="A33" s="252"/>
      <c r="B33" s="242"/>
      <c r="C33" s="255"/>
      <c r="D33" s="16"/>
      <c r="E33" s="16"/>
      <c r="F33" s="133"/>
      <c r="G33" s="134"/>
      <c r="H33" s="88"/>
      <c r="I33" s="136"/>
    </row>
    <row r="34" spans="1:15" x14ac:dyDescent="0.25">
      <c r="A34" s="252"/>
      <c r="B34" s="242"/>
      <c r="C34" s="255"/>
      <c r="D34" s="16"/>
      <c r="E34" s="16"/>
      <c r="F34" s="133"/>
      <c r="G34" s="134"/>
      <c r="H34" s="88"/>
      <c r="I34" s="136"/>
    </row>
    <row r="35" spans="1:15" ht="15" customHeight="1" thickBot="1" x14ac:dyDescent="0.3">
      <c r="A35" s="253"/>
      <c r="B35" s="247"/>
      <c r="C35" s="256"/>
      <c r="D35" s="9"/>
      <c r="E35" s="9"/>
      <c r="F35" s="144"/>
      <c r="G35" s="145"/>
      <c r="H35" s="146"/>
      <c r="I35" s="137"/>
    </row>
    <row r="36" spans="1:15" x14ac:dyDescent="0.25">
      <c r="A36" s="249"/>
      <c r="B36" s="250" t="s">
        <v>44</v>
      </c>
      <c r="C36" s="243" t="s">
        <v>87</v>
      </c>
      <c r="D36" s="106" t="s">
        <v>117</v>
      </c>
      <c r="E36" s="58" t="s">
        <v>77</v>
      </c>
      <c r="F36" s="129" t="s">
        <v>167</v>
      </c>
      <c r="G36" s="130"/>
      <c r="H36" s="131"/>
    </row>
    <row r="37" spans="1:15" x14ac:dyDescent="0.25">
      <c r="A37" s="246"/>
      <c r="B37" s="244"/>
      <c r="C37" s="244"/>
      <c r="D37" s="57" t="s">
        <v>105</v>
      </c>
      <c r="E37" s="59" t="s">
        <v>5</v>
      </c>
      <c r="F37" s="102" t="s">
        <v>167</v>
      </c>
      <c r="G37" s="85"/>
      <c r="H37" s="88"/>
    </row>
    <row r="38" spans="1:15" x14ac:dyDescent="0.25">
      <c r="A38" s="246"/>
      <c r="B38" s="244"/>
      <c r="C38" s="244"/>
      <c r="D38" s="57"/>
      <c r="E38" s="59"/>
      <c r="F38" s="102"/>
      <c r="G38" s="85"/>
      <c r="H38" s="88"/>
    </row>
    <row r="39" spans="1:15" x14ac:dyDescent="0.25">
      <c r="A39" s="246"/>
      <c r="B39" s="244" t="s">
        <v>44</v>
      </c>
      <c r="C39" s="244"/>
      <c r="D39" s="57" t="s">
        <v>144</v>
      </c>
      <c r="E39" s="59" t="s">
        <v>77</v>
      </c>
      <c r="F39" s="102" t="s">
        <v>167</v>
      </c>
      <c r="G39" s="85"/>
      <c r="H39" s="88"/>
    </row>
    <row r="40" spans="1:15" x14ac:dyDescent="0.25">
      <c r="A40" s="246"/>
      <c r="B40" s="244"/>
      <c r="C40" s="244"/>
      <c r="D40" s="57"/>
      <c r="E40" s="59" t="s">
        <v>148</v>
      </c>
      <c r="F40" s="100"/>
      <c r="G40" s="85"/>
      <c r="H40" s="88"/>
      <c r="N40" s="33"/>
      <c r="O40" s="33"/>
    </row>
    <row r="41" spans="1:15" ht="15.75" thickBot="1" x14ac:dyDescent="0.3">
      <c r="A41" s="246"/>
      <c r="B41" s="244"/>
      <c r="C41" s="244"/>
      <c r="D41" s="74"/>
      <c r="E41" s="62" t="s">
        <v>126</v>
      </c>
      <c r="F41" s="100"/>
      <c r="G41" s="85"/>
      <c r="H41" s="88"/>
      <c r="N41" s="33"/>
    </row>
    <row r="42" spans="1:15" x14ac:dyDescent="0.25">
      <c r="A42" s="246"/>
      <c r="B42" s="244" t="s">
        <v>44</v>
      </c>
      <c r="C42" s="244"/>
      <c r="D42" s="81" t="s">
        <v>76</v>
      </c>
      <c r="E42" s="82" t="s">
        <v>77</v>
      </c>
      <c r="F42" s="100"/>
      <c r="G42" s="85"/>
      <c r="H42" s="88"/>
    </row>
    <row r="43" spans="1:15" x14ac:dyDescent="0.25">
      <c r="A43" s="246"/>
      <c r="B43" s="244"/>
      <c r="C43" s="244"/>
      <c r="D43" s="57"/>
      <c r="E43" s="59"/>
      <c r="F43" s="100"/>
      <c r="G43" s="85"/>
      <c r="H43" s="88"/>
    </row>
    <row r="44" spans="1:15" x14ac:dyDescent="0.25">
      <c r="A44" s="246"/>
      <c r="B44" s="244"/>
      <c r="C44" s="244"/>
      <c r="D44" s="57"/>
      <c r="E44" s="59"/>
      <c r="F44" s="100"/>
      <c r="G44" s="85"/>
      <c r="H44" s="88"/>
    </row>
    <row r="45" spans="1:15" x14ac:dyDescent="0.25">
      <c r="A45" s="246"/>
      <c r="B45" s="244" t="s">
        <v>44</v>
      </c>
      <c r="C45" s="244"/>
      <c r="D45" s="78" t="s">
        <v>76</v>
      </c>
      <c r="E45" s="79" t="s">
        <v>77</v>
      </c>
      <c r="F45" s="100"/>
      <c r="G45" s="85"/>
      <c r="H45" s="88"/>
    </row>
    <row r="46" spans="1:15" x14ac:dyDescent="0.25">
      <c r="A46" s="246"/>
      <c r="B46" s="244"/>
      <c r="C46" s="244"/>
      <c r="D46" s="57"/>
      <c r="E46" s="59"/>
      <c r="F46" s="100"/>
      <c r="G46" s="85"/>
      <c r="H46" s="88"/>
    </row>
    <row r="47" spans="1:15" ht="15.75" thickBot="1" x14ac:dyDescent="0.3">
      <c r="A47" s="248"/>
      <c r="B47" s="245"/>
      <c r="C47" s="245"/>
      <c r="D47" s="80"/>
      <c r="E47" s="60"/>
      <c r="F47" s="101"/>
      <c r="G47" s="86"/>
      <c r="H47" s="88"/>
    </row>
    <row r="48" spans="1:15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4"/>
      <c r="B92" s="4"/>
      <c r="C92" s="4"/>
      <c r="D92" s="4"/>
      <c r="E92" s="4"/>
      <c r="F92" s="4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4"/>
      <c r="F94" s="4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4"/>
      <c r="B96" s="4"/>
      <c r="C96" s="4"/>
      <c r="D96" s="4"/>
      <c r="E96" s="4"/>
      <c r="F96" s="4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4"/>
      <c r="B104" s="4"/>
      <c r="C104" s="4"/>
      <c r="D104" s="4"/>
      <c r="E104" s="4"/>
      <c r="F104" s="4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4"/>
      <c r="B106" s="4"/>
      <c r="C106" s="4"/>
      <c r="D106" s="4"/>
      <c r="E106" s="4"/>
      <c r="F106" s="4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4"/>
      <c r="B108" s="4"/>
      <c r="C108" s="4"/>
      <c r="D108" s="4"/>
      <c r="E108" s="4"/>
      <c r="F108" s="4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4"/>
      <c r="B110" s="4"/>
      <c r="C110" s="4"/>
      <c r="D110" s="4"/>
      <c r="E110" s="4"/>
      <c r="F110" s="4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4"/>
      <c r="B112" s="4"/>
      <c r="C112" s="4"/>
      <c r="D112" s="4"/>
      <c r="E112" s="4"/>
      <c r="F112" s="4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4"/>
      <c r="B114" s="4"/>
      <c r="C114" s="4"/>
      <c r="D114" s="4"/>
      <c r="E114" s="4"/>
      <c r="F114" s="4"/>
    </row>
    <row r="115" spans="1:6" x14ac:dyDescent="0.25">
      <c r="A115" s="4"/>
      <c r="B115" s="4"/>
      <c r="C115" s="4"/>
      <c r="D115" s="4"/>
      <c r="E115" s="4"/>
      <c r="F115" s="4"/>
    </row>
    <row r="116" spans="1:6" x14ac:dyDescent="0.25">
      <c r="A116" s="4"/>
      <c r="B116" s="4"/>
      <c r="C116" s="4"/>
      <c r="D116" s="4"/>
      <c r="E116" s="4"/>
      <c r="F116" s="4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x14ac:dyDescent="0.25">
      <c r="A120" s="4"/>
      <c r="B120" s="4"/>
      <c r="C120" s="4"/>
      <c r="D120" s="4"/>
      <c r="E120" s="4"/>
      <c r="F120" s="4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4"/>
      <c r="B122" s="4"/>
      <c r="C122" s="4"/>
      <c r="D122" s="4"/>
      <c r="E122" s="4"/>
      <c r="F122" s="4"/>
    </row>
    <row r="123" spans="1:6" x14ac:dyDescent="0.25">
      <c r="A123" s="4"/>
      <c r="B123" s="4"/>
      <c r="C123" s="4"/>
      <c r="D123" s="4"/>
      <c r="E123" s="4"/>
      <c r="F123" s="4"/>
    </row>
    <row r="124" spans="1:6" x14ac:dyDescent="0.25">
      <c r="A124" s="4"/>
      <c r="B124" s="4"/>
      <c r="C124" s="4"/>
      <c r="D124" s="4"/>
      <c r="E124" s="4"/>
      <c r="F124" s="4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</sheetData>
  <mergeCells count="30">
    <mergeCell ref="C1:I1"/>
    <mergeCell ref="A3:I3"/>
    <mergeCell ref="B29:B31"/>
    <mergeCell ref="A29:A31"/>
    <mergeCell ref="A18:A21"/>
    <mergeCell ref="B18:B21"/>
    <mergeCell ref="B16:B17"/>
    <mergeCell ref="A16:A17"/>
    <mergeCell ref="C5:C17"/>
    <mergeCell ref="A22:A28"/>
    <mergeCell ref="B22:B28"/>
    <mergeCell ref="C18:C28"/>
    <mergeCell ref="B5:B8"/>
    <mergeCell ref="A5:A8"/>
    <mergeCell ref="B9:B11"/>
    <mergeCell ref="A9:A11"/>
    <mergeCell ref="B12:B15"/>
    <mergeCell ref="C36:C47"/>
    <mergeCell ref="A39:A41"/>
    <mergeCell ref="B39:B41"/>
    <mergeCell ref="B32:B35"/>
    <mergeCell ref="A42:A44"/>
    <mergeCell ref="B42:B44"/>
    <mergeCell ref="A45:A47"/>
    <mergeCell ref="B45:B47"/>
    <mergeCell ref="A36:A38"/>
    <mergeCell ref="B36:B38"/>
    <mergeCell ref="A32:A35"/>
    <mergeCell ref="C29:C35"/>
    <mergeCell ref="A12:A15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9"/>
  <sheetViews>
    <sheetView zoomScale="85" zoomScaleNormal="85" workbookViewId="0">
      <selection activeCell="N24" sqref="N24"/>
    </sheetView>
  </sheetViews>
  <sheetFormatPr defaultRowHeight="15" x14ac:dyDescent="0.25"/>
  <cols>
    <col min="1" max="1" width="16.28515625" style="45" customWidth="1"/>
    <col min="2" max="2" width="13" style="45" customWidth="1"/>
    <col min="3" max="3" width="18.42578125" style="45" customWidth="1"/>
    <col min="4" max="4" width="22.28515625" style="45" bestFit="1" customWidth="1"/>
    <col min="5" max="5" width="20.140625" style="45" bestFit="1" customWidth="1"/>
    <col min="6" max="6" width="23.5703125" style="45" customWidth="1"/>
    <col min="7" max="7" width="24.140625" style="4" customWidth="1"/>
  </cols>
  <sheetData>
    <row r="1" spans="1:7" ht="15.75" thickBot="1" x14ac:dyDescent="0.3">
      <c r="A1" s="308" t="s">
        <v>92</v>
      </c>
      <c r="B1" s="309"/>
      <c r="C1" s="309"/>
      <c r="D1" s="309"/>
      <c r="E1" s="309"/>
      <c r="F1" s="309"/>
      <c r="G1" s="310"/>
    </row>
    <row r="2" spans="1:7" ht="29.25" thickBot="1" x14ac:dyDescent="0.3">
      <c r="A2" s="46" t="s">
        <v>1</v>
      </c>
      <c r="B2" s="47" t="s">
        <v>72</v>
      </c>
      <c r="C2" s="47" t="s">
        <v>21</v>
      </c>
      <c r="D2" s="89" t="s">
        <v>3</v>
      </c>
      <c r="E2" s="54" t="s">
        <v>33</v>
      </c>
      <c r="F2" s="90" t="s">
        <v>88</v>
      </c>
      <c r="G2" s="48" t="s">
        <v>91</v>
      </c>
    </row>
    <row r="3" spans="1:7" ht="15.75" customHeight="1" x14ac:dyDescent="0.25">
      <c r="A3" s="280">
        <v>203</v>
      </c>
      <c r="B3" s="278" t="s">
        <v>0</v>
      </c>
      <c r="C3" s="250" t="s">
        <v>85</v>
      </c>
      <c r="D3" s="91" t="s">
        <v>115</v>
      </c>
      <c r="E3" s="91" t="s">
        <v>5</v>
      </c>
      <c r="F3" s="305" t="s">
        <v>90</v>
      </c>
      <c r="G3" s="316" t="s">
        <v>104</v>
      </c>
    </row>
    <row r="4" spans="1:7" ht="20.25" customHeight="1" x14ac:dyDescent="0.25">
      <c r="A4" s="281"/>
      <c r="B4" s="279"/>
      <c r="C4" s="244"/>
      <c r="D4" s="92" t="s">
        <v>76</v>
      </c>
      <c r="E4" s="92" t="s">
        <v>73</v>
      </c>
      <c r="F4" s="306"/>
      <c r="G4" s="317"/>
    </row>
    <row r="5" spans="1:7" x14ac:dyDescent="0.25">
      <c r="A5" s="281"/>
      <c r="B5" s="279"/>
      <c r="C5" s="244"/>
      <c r="D5" s="77" t="s">
        <v>75</v>
      </c>
      <c r="E5" s="77" t="s">
        <v>7</v>
      </c>
      <c r="F5" s="306"/>
      <c r="G5" s="317"/>
    </row>
    <row r="6" spans="1:7" ht="15" customHeight="1" x14ac:dyDescent="0.25">
      <c r="A6" s="281">
        <v>202</v>
      </c>
      <c r="B6" s="279" t="s">
        <v>0</v>
      </c>
      <c r="C6" s="244"/>
      <c r="D6" s="92" t="s">
        <v>76</v>
      </c>
      <c r="E6" s="92" t="s">
        <v>5</v>
      </c>
      <c r="F6" s="306" t="s">
        <v>90</v>
      </c>
      <c r="G6" s="318" t="s">
        <v>104</v>
      </c>
    </row>
    <row r="7" spans="1:7" ht="20.25" customHeight="1" x14ac:dyDescent="0.25">
      <c r="A7" s="281"/>
      <c r="B7" s="279"/>
      <c r="C7" s="244"/>
      <c r="D7" s="92" t="s">
        <v>76</v>
      </c>
      <c r="E7" s="92" t="s">
        <v>73</v>
      </c>
      <c r="F7" s="306"/>
      <c r="G7" s="319"/>
    </row>
    <row r="8" spans="1:7" x14ac:dyDescent="0.25">
      <c r="A8" s="281"/>
      <c r="B8" s="279"/>
      <c r="C8" s="244"/>
      <c r="D8" s="92" t="s">
        <v>76</v>
      </c>
      <c r="E8" s="92" t="s">
        <v>79</v>
      </c>
      <c r="F8" s="306"/>
      <c r="G8" s="320"/>
    </row>
    <row r="9" spans="1:7" ht="15" customHeight="1" x14ac:dyDescent="0.25">
      <c r="A9" s="281">
        <v>209</v>
      </c>
      <c r="B9" s="279" t="s">
        <v>4</v>
      </c>
      <c r="C9" s="244"/>
      <c r="D9" s="93" t="s">
        <v>103</v>
      </c>
      <c r="E9" s="93" t="s">
        <v>5</v>
      </c>
      <c r="F9" s="306" t="s">
        <v>90</v>
      </c>
      <c r="G9" s="318" t="s">
        <v>104</v>
      </c>
    </row>
    <row r="10" spans="1:7" ht="20.25" customHeight="1" x14ac:dyDescent="0.25">
      <c r="A10" s="281"/>
      <c r="B10" s="279"/>
      <c r="C10" s="244"/>
      <c r="D10" s="93" t="s">
        <v>94</v>
      </c>
      <c r="E10" s="93" t="s">
        <v>73</v>
      </c>
      <c r="F10" s="306"/>
      <c r="G10" s="319"/>
    </row>
    <row r="11" spans="1:7" x14ac:dyDescent="0.25">
      <c r="A11" s="281"/>
      <c r="B11" s="279"/>
      <c r="C11" s="244"/>
      <c r="D11" s="98" t="s">
        <v>95</v>
      </c>
      <c r="E11" s="98" t="s">
        <v>7</v>
      </c>
      <c r="F11" s="306"/>
      <c r="G11" s="320"/>
    </row>
    <row r="12" spans="1:7" ht="15" customHeight="1" x14ac:dyDescent="0.25">
      <c r="A12" s="281">
        <v>210</v>
      </c>
      <c r="B12" s="279" t="s">
        <v>4</v>
      </c>
      <c r="C12" s="244"/>
      <c r="D12" s="92" t="s">
        <v>76</v>
      </c>
      <c r="E12" s="92" t="s">
        <v>5</v>
      </c>
      <c r="F12" s="306" t="s">
        <v>90</v>
      </c>
      <c r="G12" s="318" t="s">
        <v>104</v>
      </c>
    </row>
    <row r="13" spans="1:7" ht="18.75" customHeight="1" x14ac:dyDescent="0.25">
      <c r="A13" s="281"/>
      <c r="B13" s="279"/>
      <c r="C13" s="244"/>
      <c r="D13" s="93" t="s">
        <v>152</v>
      </c>
      <c r="E13" s="93" t="s">
        <v>73</v>
      </c>
      <c r="F13" s="306"/>
      <c r="G13" s="319"/>
    </row>
    <row r="14" spans="1:7" ht="15.75" thickBot="1" x14ac:dyDescent="0.3">
      <c r="A14" s="281"/>
      <c r="B14" s="279"/>
      <c r="C14" s="244"/>
      <c r="D14" s="94" t="s">
        <v>153</v>
      </c>
      <c r="E14" s="94" t="s">
        <v>7</v>
      </c>
      <c r="F14" s="307"/>
      <c r="G14" s="321"/>
    </row>
    <row r="15" spans="1:7" ht="15" customHeight="1" x14ac:dyDescent="0.25">
      <c r="A15" s="298"/>
      <c r="B15" s="279" t="s">
        <v>44</v>
      </c>
      <c r="C15" s="244"/>
      <c r="D15" s="284" t="s">
        <v>111</v>
      </c>
      <c r="E15" s="282" t="s">
        <v>45</v>
      </c>
      <c r="F15" s="254" t="s">
        <v>89</v>
      </c>
      <c r="G15" s="313"/>
    </row>
    <row r="16" spans="1:7" x14ac:dyDescent="0.25">
      <c r="A16" s="298"/>
      <c r="B16" s="279"/>
      <c r="C16" s="244"/>
      <c r="D16" s="283"/>
      <c r="E16" s="283"/>
      <c r="F16" s="255"/>
      <c r="G16" s="314"/>
    </row>
    <row r="17" spans="1:7" x14ac:dyDescent="0.25">
      <c r="A17" s="298"/>
      <c r="B17" s="279"/>
      <c r="C17" s="244"/>
      <c r="D17" s="283"/>
      <c r="E17" s="283"/>
      <c r="F17" s="255"/>
      <c r="G17" s="314"/>
    </row>
    <row r="18" spans="1:7" x14ac:dyDescent="0.25">
      <c r="A18" s="281"/>
      <c r="B18" s="279" t="s">
        <v>44</v>
      </c>
      <c r="C18" s="244"/>
      <c r="D18" s="283" t="s">
        <v>109</v>
      </c>
      <c r="E18" s="283" t="s">
        <v>45</v>
      </c>
      <c r="F18" s="255"/>
      <c r="G18" s="314"/>
    </row>
    <row r="19" spans="1:7" x14ac:dyDescent="0.25">
      <c r="A19" s="281"/>
      <c r="B19" s="279"/>
      <c r="C19" s="244"/>
      <c r="D19" s="283"/>
      <c r="E19" s="283"/>
      <c r="F19" s="255"/>
      <c r="G19" s="314"/>
    </row>
    <row r="20" spans="1:7" x14ac:dyDescent="0.25">
      <c r="A20" s="281"/>
      <c r="B20" s="279"/>
      <c r="C20" s="244"/>
      <c r="D20" s="283"/>
      <c r="E20" s="283"/>
      <c r="F20" s="255"/>
      <c r="G20" s="314"/>
    </row>
    <row r="21" spans="1:7" x14ac:dyDescent="0.25">
      <c r="A21" s="281"/>
      <c r="B21" s="279" t="s">
        <v>44</v>
      </c>
      <c r="C21" s="244"/>
      <c r="D21" s="283" t="s">
        <v>107</v>
      </c>
      <c r="E21" s="283" t="s">
        <v>45</v>
      </c>
      <c r="F21" s="255"/>
      <c r="G21" s="314"/>
    </row>
    <row r="22" spans="1:7" x14ac:dyDescent="0.25">
      <c r="A22" s="281"/>
      <c r="B22" s="279"/>
      <c r="C22" s="244"/>
      <c r="D22" s="283"/>
      <c r="E22" s="283"/>
      <c r="F22" s="255"/>
      <c r="G22" s="314"/>
    </row>
    <row r="23" spans="1:7" x14ac:dyDescent="0.25">
      <c r="A23" s="281"/>
      <c r="B23" s="279"/>
      <c r="C23" s="244"/>
      <c r="D23" s="283"/>
      <c r="E23" s="283"/>
      <c r="F23" s="255"/>
      <c r="G23" s="314"/>
    </row>
    <row r="24" spans="1:7" ht="14.45" customHeight="1" x14ac:dyDescent="0.25">
      <c r="A24" s="281"/>
      <c r="B24" s="279" t="s">
        <v>44</v>
      </c>
      <c r="C24" s="244"/>
      <c r="D24" s="283" t="s">
        <v>110</v>
      </c>
      <c r="E24" s="283" t="s">
        <v>45</v>
      </c>
      <c r="F24" s="255"/>
      <c r="G24" s="314"/>
    </row>
    <row r="25" spans="1:7" x14ac:dyDescent="0.25">
      <c r="A25" s="281"/>
      <c r="B25" s="279"/>
      <c r="C25" s="244"/>
      <c r="D25" s="283"/>
      <c r="E25" s="283"/>
      <c r="F25" s="255"/>
      <c r="G25" s="314"/>
    </row>
    <row r="26" spans="1:7" ht="15.75" thickBot="1" x14ac:dyDescent="0.3">
      <c r="A26" s="293"/>
      <c r="B26" s="296"/>
      <c r="C26" s="245"/>
      <c r="D26" s="295"/>
      <c r="E26" s="295"/>
      <c r="F26" s="256"/>
      <c r="G26" s="315"/>
    </row>
    <row r="27" spans="1:7" x14ac:dyDescent="0.25">
      <c r="A27" s="280">
        <v>206</v>
      </c>
      <c r="B27" s="278" t="s">
        <v>4</v>
      </c>
      <c r="C27" s="250" t="s">
        <v>83</v>
      </c>
      <c r="D27" s="95" t="s">
        <v>98</v>
      </c>
      <c r="E27" s="50" t="s">
        <v>5</v>
      </c>
      <c r="F27" s="287" t="s">
        <v>90</v>
      </c>
      <c r="G27" s="311" t="s">
        <v>104</v>
      </c>
    </row>
    <row r="28" spans="1:7" x14ac:dyDescent="0.25">
      <c r="A28" s="281"/>
      <c r="B28" s="279"/>
      <c r="C28" s="244"/>
      <c r="D28" s="96" t="s">
        <v>97</v>
      </c>
      <c r="E28" s="51" t="s">
        <v>80</v>
      </c>
      <c r="F28" s="285"/>
      <c r="G28" s="312"/>
    </row>
    <row r="29" spans="1:7" x14ac:dyDescent="0.25">
      <c r="A29" s="281"/>
      <c r="B29" s="279"/>
      <c r="C29" s="244"/>
      <c r="D29" s="96" t="s">
        <v>99</v>
      </c>
      <c r="E29" s="51" t="s">
        <v>79</v>
      </c>
      <c r="F29" s="285"/>
      <c r="G29" s="312"/>
    </row>
    <row r="30" spans="1:7" x14ac:dyDescent="0.25">
      <c r="A30" s="281"/>
      <c r="B30" s="279" t="s">
        <v>44</v>
      </c>
      <c r="C30" s="244"/>
      <c r="D30" s="288" t="s">
        <v>108</v>
      </c>
      <c r="E30" s="286" t="s">
        <v>45</v>
      </c>
      <c r="F30" s="301" t="s">
        <v>89</v>
      </c>
      <c r="G30" s="302"/>
    </row>
    <row r="31" spans="1:7" x14ac:dyDescent="0.25">
      <c r="A31" s="281"/>
      <c r="B31" s="279"/>
      <c r="C31" s="244"/>
      <c r="D31" s="288"/>
      <c r="E31" s="286"/>
      <c r="F31" s="301"/>
      <c r="G31" s="302"/>
    </row>
    <row r="32" spans="1:7" x14ac:dyDescent="0.25">
      <c r="A32" s="281"/>
      <c r="B32" s="279"/>
      <c r="C32" s="244"/>
      <c r="D32" s="288"/>
      <c r="E32" s="286"/>
      <c r="F32" s="301"/>
      <c r="G32" s="302"/>
    </row>
    <row r="33" spans="1:7" x14ac:dyDescent="0.25">
      <c r="A33" s="281"/>
      <c r="B33" s="279" t="s">
        <v>44</v>
      </c>
      <c r="C33" s="244"/>
      <c r="D33" s="288" t="s">
        <v>61</v>
      </c>
      <c r="E33" s="286" t="s">
        <v>45</v>
      </c>
      <c r="F33" s="301"/>
      <c r="G33" s="302"/>
    </row>
    <row r="34" spans="1:7" x14ac:dyDescent="0.25">
      <c r="A34" s="281"/>
      <c r="B34" s="279"/>
      <c r="C34" s="244"/>
      <c r="D34" s="288"/>
      <c r="E34" s="286"/>
      <c r="F34" s="301"/>
      <c r="G34" s="302"/>
    </row>
    <row r="35" spans="1:7" ht="15.75" thickBot="1" x14ac:dyDescent="0.3">
      <c r="A35" s="293"/>
      <c r="B35" s="296"/>
      <c r="C35" s="245"/>
      <c r="D35" s="289"/>
      <c r="E35" s="290"/>
      <c r="F35" s="303"/>
      <c r="G35" s="304"/>
    </row>
    <row r="36" spans="1:7" ht="15" customHeight="1" x14ac:dyDescent="0.25">
      <c r="A36" s="280">
        <v>207</v>
      </c>
      <c r="B36" s="287" t="s">
        <v>4</v>
      </c>
      <c r="C36" s="291" t="s">
        <v>84</v>
      </c>
      <c r="D36" s="50" t="s">
        <v>102</v>
      </c>
      <c r="E36" s="50" t="s">
        <v>5</v>
      </c>
      <c r="F36" s="287" t="s">
        <v>90</v>
      </c>
      <c r="G36" s="311" t="s">
        <v>104</v>
      </c>
    </row>
    <row r="37" spans="1:7" ht="30" x14ac:dyDescent="0.25">
      <c r="A37" s="281"/>
      <c r="B37" s="285"/>
      <c r="C37" s="292"/>
      <c r="D37" s="52" t="s">
        <v>25</v>
      </c>
      <c r="E37" s="52" t="s">
        <v>73</v>
      </c>
      <c r="F37" s="285"/>
      <c r="G37" s="312"/>
    </row>
    <row r="38" spans="1:7" x14ac:dyDescent="0.25">
      <c r="A38" s="281"/>
      <c r="B38" s="285"/>
      <c r="C38" s="292"/>
      <c r="D38" s="52" t="s">
        <v>24</v>
      </c>
      <c r="E38" s="52" t="s">
        <v>7</v>
      </c>
      <c r="F38" s="285"/>
      <c r="G38" s="312"/>
    </row>
    <row r="39" spans="1:7" ht="15" customHeight="1" x14ac:dyDescent="0.25">
      <c r="A39" s="281">
        <v>208</v>
      </c>
      <c r="B39" s="285" t="s">
        <v>4</v>
      </c>
      <c r="C39" s="292"/>
      <c r="D39" s="52" t="s">
        <v>105</v>
      </c>
      <c r="E39" s="52" t="s">
        <v>82</v>
      </c>
      <c r="F39" s="285" t="s">
        <v>90</v>
      </c>
      <c r="G39" s="312" t="s">
        <v>104</v>
      </c>
    </row>
    <row r="40" spans="1:7" ht="30" x14ac:dyDescent="0.25">
      <c r="A40" s="281"/>
      <c r="B40" s="285"/>
      <c r="C40" s="292"/>
      <c r="D40" s="52" t="s">
        <v>100</v>
      </c>
      <c r="E40" s="52" t="s">
        <v>73</v>
      </c>
      <c r="F40" s="285"/>
      <c r="G40" s="312"/>
    </row>
    <row r="41" spans="1:7" x14ac:dyDescent="0.25">
      <c r="A41" s="281"/>
      <c r="B41" s="285"/>
      <c r="C41" s="292"/>
      <c r="D41" s="52" t="s">
        <v>101</v>
      </c>
      <c r="E41" s="52" t="s">
        <v>7</v>
      </c>
      <c r="F41" s="285"/>
      <c r="G41" s="312"/>
    </row>
    <row r="42" spans="1:7" x14ac:dyDescent="0.25">
      <c r="A42" s="281"/>
      <c r="B42" s="285" t="s">
        <v>44</v>
      </c>
      <c r="C42" s="292"/>
      <c r="D42" s="286" t="s">
        <v>107</v>
      </c>
      <c r="E42" s="286" t="s">
        <v>45</v>
      </c>
      <c r="F42" s="301" t="s">
        <v>89</v>
      </c>
      <c r="G42" s="302"/>
    </row>
    <row r="43" spans="1:7" ht="15" customHeight="1" x14ac:dyDescent="0.25">
      <c r="A43" s="281"/>
      <c r="B43" s="285"/>
      <c r="C43" s="292"/>
      <c r="D43" s="286"/>
      <c r="E43" s="286"/>
      <c r="F43" s="301"/>
      <c r="G43" s="302"/>
    </row>
    <row r="44" spans="1:7" ht="15" customHeight="1" x14ac:dyDescent="0.25">
      <c r="A44" s="281"/>
      <c r="B44" s="285"/>
      <c r="C44" s="292"/>
      <c r="D44" s="286"/>
      <c r="E44" s="286"/>
      <c r="F44" s="301"/>
      <c r="G44" s="302"/>
    </row>
    <row r="45" spans="1:7" x14ac:dyDescent="0.25">
      <c r="A45" s="281"/>
      <c r="B45" s="285" t="s">
        <v>62</v>
      </c>
      <c r="C45" s="292"/>
      <c r="D45" s="286" t="s">
        <v>112</v>
      </c>
      <c r="E45" s="286" t="s">
        <v>45</v>
      </c>
      <c r="F45" s="301"/>
      <c r="G45" s="302"/>
    </row>
    <row r="46" spans="1:7" x14ac:dyDescent="0.25">
      <c r="A46" s="281"/>
      <c r="B46" s="285"/>
      <c r="C46" s="292"/>
      <c r="D46" s="286"/>
      <c r="E46" s="286"/>
      <c r="F46" s="301"/>
      <c r="G46" s="302"/>
    </row>
    <row r="47" spans="1:7" ht="15" customHeight="1" thickBot="1" x14ac:dyDescent="0.3">
      <c r="A47" s="293"/>
      <c r="B47" s="294"/>
      <c r="C47" s="297"/>
      <c r="D47" s="290"/>
      <c r="E47" s="290"/>
      <c r="F47" s="303"/>
      <c r="G47" s="304"/>
    </row>
    <row r="48" spans="1:7" x14ac:dyDescent="0.25">
      <c r="A48" s="280">
        <v>204</v>
      </c>
      <c r="B48" s="287" t="s">
        <v>0</v>
      </c>
      <c r="C48" s="291" t="s">
        <v>86</v>
      </c>
      <c r="D48" s="50" t="s">
        <v>106</v>
      </c>
      <c r="E48" s="49" t="s">
        <v>5</v>
      </c>
      <c r="F48" s="287" t="s">
        <v>90</v>
      </c>
      <c r="G48" s="311" t="s">
        <v>104</v>
      </c>
    </row>
    <row r="49" spans="1:7" ht="15" customHeight="1" x14ac:dyDescent="0.25">
      <c r="A49" s="281"/>
      <c r="B49" s="285"/>
      <c r="C49" s="292"/>
      <c r="D49" s="52" t="s">
        <v>78</v>
      </c>
      <c r="E49" s="52" t="s">
        <v>74</v>
      </c>
      <c r="F49" s="285"/>
      <c r="G49" s="312"/>
    </row>
    <row r="50" spans="1:7" ht="30" x14ac:dyDescent="0.25">
      <c r="A50" s="281"/>
      <c r="B50" s="285"/>
      <c r="C50" s="292"/>
      <c r="D50" s="52" t="s">
        <v>93</v>
      </c>
      <c r="E50" s="52" t="s">
        <v>81</v>
      </c>
      <c r="F50" s="285"/>
      <c r="G50" s="312"/>
    </row>
    <row r="51" spans="1:7" x14ac:dyDescent="0.25">
      <c r="A51" s="281">
        <v>211</v>
      </c>
      <c r="B51" s="285" t="s">
        <v>4</v>
      </c>
      <c r="C51" s="292"/>
      <c r="D51" s="31" t="s">
        <v>13</v>
      </c>
      <c r="E51" s="16" t="s">
        <v>5</v>
      </c>
      <c r="F51" s="285" t="s">
        <v>90</v>
      </c>
      <c r="G51" s="312" t="s">
        <v>104</v>
      </c>
    </row>
    <row r="52" spans="1:7" ht="15" customHeight="1" x14ac:dyDescent="0.25">
      <c r="A52" s="281"/>
      <c r="B52" s="285"/>
      <c r="C52" s="292"/>
      <c r="D52" s="53" t="s">
        <v>76</v>
      </c>
      <c r="E52" s="53" t="s">
        <v>73</v>
      </c>
      <c r="F52" s="285"/>
      <c r="G52" s="312"/>
    </row>
    <row r="53" spans="1:7" x14ac:dyDescent="0.25">
      <c r="A53" s="281"/>
      <c r="B53" s="285"/>
      <c r="C53" s="292"/>
      <c r="D53" s="31" t="s">
        <v>96</v>
      </c>
      <c r="E53" s="31" t="s">
        <v>7</v>
      </c>
      <c r="F53" s="285"/>
      <c r="G53" s="312"/>
    </row>
    <row r="54" spans="1:7" x14ac:dyDescent="0.25">
      <c r="A54" s="281"/>
      <c r="B54" s="285" t="s">
        <v>44</v>
      </c>
      <c r="C54" s="292" t="s">
        <v>87</v>
      </c>
      <c r="D54" s="286" t="s">
        <v>113</v>
      </c>
      <c r="E54" s="286" t="s">
        <v>77</v>
      </c>
      <c r="F54" s="301" t="s">
        <v>89</v>
      </c>
      <c r="G54" s="302"/>
    </row>
    <row r="55" spans="1:7" x14ac:dyDescent="0.25">
      <c r="A55" s="281"/>
      <c r="B55" s="285"/>
      <c r="C55" s="292"/>
      <c r="D55" s="286"/>
      <c r="E55" s="286"/>
      <c r="F55" s="301"/>
      <c r="G55" s="302"/>
    </row>
    <row r="56" spans="1:7" x14ac:dyDescent="0.25">
      <c r="A56" s="281"/>
      <c r="B56" s="285"/>
      <c r="C56" s="292"/>
      <c r="D56" s="286"/>
      <c r="E56" s="286"/>
      <c r="F56" s="301"/>
      <c r="G56" s="302"/>
    </row>
    <row r="57" spans="1:7" x14ac:dyDescent="0.25">
      <c r="A57" s="281"/>
      <c r="B57" s="285" t="s">
        <v>44</v>
      </c>
      <c r="C57" s="292"/>
      <c r="D57" s="286" t="s">
        <v>114</v>
      </c>
      <c r="E57" s="286" t="s">
        <v>77</v>
      </c>
      <c r="F57" s="301"/>
      <c r="G57" s="302"/>
    </row>
    <row r="58" spans="1:7" x14ac:dyDescent="0.25">
      <c r="A58" s="281"/>
      <c r="B58" s="285"/>
      <c r="C58" s="292"/>
      <c r="D58" s="286"/>
      <c r="E58" s="286"/>
      <c r="F58" s="301"/>
      <c r="G58" s="302"/>
    </row>
    <row r="59" spans="1:7" x14ac:dyDescent="0.25">
      <c r="A59" s="281"/>
      <c r="B59" s="285"/>
      <c r="C59" s="292"/>
      <c r="D59" s="286"/>
      <c r="E59" s="286"/>
      <c r="F59" s="301"/>
      <c r="G59" s="302"/>
    </row>
    <row r="60" spans="1:7" x14ac:dyDescent="0.25">
      <c r="A60" s="281"/>
      <c r="B60" s="285" t="s">
        <v>44</v>
      </c>
      <c r="C60" s="292"/>
      <c r="D60" s="299" t="s">
        <v>76</v>
      </c>
      <c r="E60" s="299" t="s">
        <v>77</v>
      </c>
      <c r="F60" s="301"/>
      <c r="G60" s="302"/>
    </row>
    <row r="61" spans="1:7" x14ac:dyDescent="0.25">
      <c r="A61" s="281"/>
      <c r="B61" s="285"/>
      <c r="C61" s="292"/>
      <c r="D61" s="299"/>
      <c r="E61" s="299"/>
      <c r="F61" s="301"/>
      <c r="G61" s="302"/>
    </row>
    <row r="62" spans="1:7" x14ac:dyDescent="0.25">
      <c r="A62" s="281"/>
      <c r="B62" s="285"/>
      <c r="C62" s="292"/>
      <c r="D62" s="299"/>
      <c r="E62" s="299"/>
      <c r="F62" s="301"/>
      <c r="G62" s="302"/>
    </row>
    <row r="63" spans="1:7" x14ac:dyDescent="0.25">
      <c r="A63" s="281"/>
      <c r="B63" s="285" t="s">
        <v>44</v>
      </c>
      <c r="C63" s="292"/>
      <c r="D63" s="299" t="s">
        <v>76</v>
      </c>
      <c r="E63" s="299" t="s">
        <v>77</v>
      </c>
      <c r="F63" s="301"/>
      <c r="G63" s="302"/>
    </row>
    <row r="64" spans="1:7" x14ac:dyDescent="0.25">
      <c r="A64" s="281"/>
      <c r="B64" s="285"/>
      <c r="C64" s="292"/>
      <c r="D64" s="299"/>
      <c r="E64" s="299"/>
      <c r="F64" s="301"/>
      <c r="G64" s="302"/>
    </row>
    <row r="65" spans="1:7" ht="15.75" thickBot="1" x14ac:dyDescent="0.3">
      <c r="A65" s="293"/>
      <c r="B65" s="294"/>
      <c r="C65" s="297"/>
      <c r="D65" s="300"/>
      <c r="E65" s="300"/>
      <c r="F65" s="303"/>
      <c r="G65" s="304"/>
    </row>
    <row r="66" spans="1:7" x14ac:dyDescent="0.25">
      <c r="A66" s="4"/>
      <c r="B66" s="4"/>
      <c r="C66" s="4"/>
      <c r="D66" s="4"/>
      <c r="E66" s="4"/>
      <c r="F66" s="4"/>
    </row>
    <row r="67" spans="1:7" x14ac:dyDescent="0.25">
      <c r="A67" s="4"/>
      <c r="B67" s="4"/>
      <c r="C67" s="4"/>
      <c r="D67" s="4"/>
      <c r="E67" s="4"/>
      <c r="F67" s="4"/>
    </row>
    <row r="68" spans="1:7" x14ac:dyDescent="0.25">
      <c r="A68" s="4"/>
      <c r="B68" s="4"/>
      <c r="C68" s="4"/>
      <c r="D68" s="4"/>
      <c r="E68" s="4"/>
      <c r="F68" s="4"/>
    </row>
    <row r="69" spans="1:7" x14ac:dyDescent="0.25">
      <c r="A69" s="4"/>
      <c r="B69" s="4"/>
      <c r="C69" s="4"/>
      <c r="D69" s="4"/>
      <c r="E69" s="4"/>
      <c r="F69" s="4"/>
    </row>
    <row r="70" spans="1:7" x14ac:dyDescent="0.25">
      <c r="A70" s="4"/>
      <c r="B70" s="4"/>
      <c r="C70" s="4"/>
      <c r="D70" s="4"/>
      <c r="E70" s="4"/>
      <c r="F70" s="4"/>
    </row>
    <row r="71" spans="1:7" x14ac:dyDescent="0.25">
      <c r="A71" s="4"/>
      <c r="B71" s="4"/>
      <c r="C71" s="4"/>
      <c r="D71" s="4"/>
      <c r="E71" s="4"/>
      <c r="F71" s="4"/>
    </row>
    <row r="72" spans="1:7" x14ac:dyDescent="0.25">
      <c r="A72" s="4"/>
      <c r="B72" s="4"/>
      <c r="C72" s="4"/>
      <c r="D72" s="4"/>
      <c r="E72" s="4"/>
      <c r="F72" s="4"/>
    </row>
    <row r="73" spans="1:7" x14ac:dyDescent="0.25">
      <c r="A73" s="4"/>
      <c r="B73" s="4"/>
      <c r="C73" s="4"/>
      <c r="D73" s="4"/>
      <c r="E73" s="4"/>
      <c r="F73" s="4"/>
    </row>
    <row r="74" spans="1:7" x14ac:dyDescent="0.25">
      <c r="A74" s="4"/>
      <c r="B74" s="4"/>
      <c r="C74" s="4"/>
      <c r="D74" s="4"/>
      <c r="E74" s="4"/>
      <c r="F74" s="4"/>
    </row>
    <row r="75" spans="1:7" x14ac:dyDescent="0.25">
      <c r="A75" s="4"/>
      <c r="B75" s="4"/>
      <c r="C75" s="4"/>
      <c r="D75" s="4"/>
      <c r="E75" s="4"/>
      <c r="F75" s="4"/>
    </row>
    <row r="76" spans="1:7" x14ac:dyDescent="0.25">
      <c r="A76" s="4"/>
      <c r="B76" s="4"/>
      <c r="C76" s="4"/>
      <c r="D76" s="4"/>
      <c r="E76" s="4"/>
      <c r="F76" s="4"/>
    </row>
    <row r="77" spans="1:7" x14ac:dyDescent="0.25">
      <c r="A77" s="4"/>
      <c r="B77" s="4"/>
      <c r="C77" s="4"/>
      <c r="D77" s="4"/>
      <c r="E77" s="4"/>
      <c r="F77" s="4"/>
    </row>
    <row r="78" spans="1:7" x14ac:dyDescent="0.25">
      <c r="A78" s="4"/>
      <c r="B78" s="4"/>
      <c r="C78" s="4"/>
      <c r="D78" s="4"/>
      <c r="E78" s="4"/>
      <c r="F78" s="4"/>
    </row>
    <row r="79" spans="1:7" x14ac:dyDescent="0.25">
      <c r="A79" s="4"/>
      <c r="B79" s="4"/>
      <c r="C79" s="4"/>
      <c r="D79" s="4"/>
      <c r="E79" s="4"/>
      <c r="F79" s="4"/>
    </row>
    <row r="80" spans="1:7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4"/>
      <c r="B92" s="4"/>
      <c r="C92" s="4"/>
      <c r="D92" s="4"/>
      <c r="E92" s="4"/>
      <c r="F92" s="4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4"/>
      <c r="F94" s="4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4"/>
      <c r="B96" s="4"/>
      <c r="C96" s="4"/>
      <c r="D96" s="4"/>
      <c r="E96" s="4"/>
      <c r="F96" s="4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4"/>
      <c r="B104" s="4"/>
      <c r="C104" s="4"/>
      <c r="D104" s="4"/>
      <c r="E104" s="4"/>
      <c r="F104" s="4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4"/>
      <c r="B106" s="4"/>
      <c r="C106" s="4"/>
      <c r="D106" s="4"/>
      <c r="E106" s="4"/>
      <c r="F106" s="4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4"/>
      <c r="B108" s="4"/>
      <c r="C108" s="4"/>
      <c r="D108" s="4"/>
      <c r="E108" s="4"/>
      <c r="F108" s="4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4"/>
      <c r="B110" s="4"/>
      <c r="C110" s="4"/>
      <c r="D110" s="4"/>
      <c r="E110" s="4"/>
      <c r="F110" s="4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4"/>
      <c r="B112" s="4"/>
      <c r="C112" s="4"/>
      <c r="D112" s="4"/>
      <c r="E112" s="4"/>
      <c r="F112" s="4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4"/>
      <c r="B114" s="4"/>
      <c r="C114" s="4"/>
      <c r="D114" s="4"/>
      <c r="E114" s="4"/>
      <c r="F114" s="4"/>
    </row>
    <row r="115" spans="1:6" x14ac:dyDescent="0.25">
      <c r="A115" s="4"/>
      <c r="B115" s="4"/>
      <c r="C115" s="4"/>
      <c r="D115" s="4"/>
      <c r="E115" s="4"/>
      <c r="F115" s="4"/>
    </row>
    <row r="116" spans="1:6" x14ac:dyDescent="0.25">
      <c r="A116" s="4"/>
      <c r="B116" s="4"/>
      <c r="C116" s="4"/>
      <c r="D116" s="4"/>
      <c r="E116" s="4"/>
      <c r="F116" s="4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x14ac:dyDescent="0.25">
      <c r="A120" s="4"/>
      <c r="B120" s="4"/>
      <c r="C120" s="4"/>
      <c r="D120" s="4"/>
      <c r="E120" s="4"/>
      <c r="F120" s="4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4"/>
      <c r="B122" s="4"/>
      <c r="C122" s="4"/>
      <c r="D122" s="4"/>
      <c r="E122" s="4"/>
      <c r="F122" s="4"/>
    </row>
    <row r="123" spans="1:6" x14ac:dyDescent="0.25">
      <c r="A123" s="4"/>
      <c r="B123" s="4"/>
      <c r="C123" s="4"/>
      <c r="D123" s="4"/>
      <c r="E123" s="4"/>
      <c r="F123" s="4"/>
    </row>
    <row r="124" spans="1:6" x14ac:dyDescent="0.25">
      <c r="A124" s="4"/>
      <c r="B124" s="4"/>
      <c r="C124" s="4"/>
      <c r="D124" s="4"/>
      <c r="E124" s="4"/>
      <c r="F124" s="4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</sheetData>
  <mergeCells count="94">
    <mergeCell ref="A1:G1"/>
    <mergeCell ref="G36:G38"/>
    <mergeCell ref="G39:G41"/>
    <mergeCell ref="G48:G50"/>
    <mergeCell ref="G51:G53"/>
    <mergeCell ref="F15:G26"/>
    <mergeCell ref="F30:G35"/>
    <mergeCell ref="F42:G47"/>
    <mergeCell ref="G3:G5"/>
    <mergeCell ref="G6:G8"/>
    <mergeCell ref="G9:G11"/>
    <mergeCell ref="G12:G14"/>
    <mergeCell ref="G27:G29"/>
    <mergeCell ref="F27:F29"/>
    <mergeCell ref="F36:F38"/>
    <mergeCell ref="F39:F41"/>
    <mergeCell ref="F48:F50"/>
    <mergeCell ref="F51:F53"/>
    <mergeCell ref="F3:F5"/>
    <mergeCell ref="F6:F8"/>
    <mergeCell ref="F9:F11"/>
    <mergeCell ref="F12:F14"/>
    <mergeCell ref="D60:D62"/>
    <mergeCell ref="D63:D65"/>
    <mergeCell ref="E60:E62"/>
    <mergeCell ref="E63:E65"/>
    <mergeCell ref="F54:G65"/>
    <mergeCell ref="A60:A62"/>
    <mergeCell ref="B60:B62"/>
    <mergeCell ref="A63:A65"/>
    <mergeCell ref="B63:B65"/>
    <mergeCell ref="C54:C65"/>
    <mergeCell ref="A54:A56"/>
    <mergeCell ref="A57:A59"/>
    <mergeCell ref="A51:A53"/>
    <mergeCell ref="C3:C26"/>
    <mergeCell ref="A30:A32"/>
    <mergeCell ref="B30:B32"/>
    <mergeCell ref="A33:A35"/>
    <mergeCell ref="B33:B35"/>
    <mergeCell ref="C27:C35"/>
    <mergeCell ref="A27:A29"/>
    <mergeCell ref="B27:B29"/>
    <mergeCell ref="C36:C47"/>
    <mergeCell ref="B15:B17"/>
    <mergeCell ref="A15:A17"/>
    <mergeCell ref="B18:B20"/>
    <mergeCell ref="B21:B23"/>
    <mergeCell ref="B39:B41"/>
    <mergeCell ref="A42:A44"/>
    <mergeCell ref="E24:E26"/>
    <mergeCell ref="A21:A23"/>
    <mergeCell ref="D45:D47"/>
    <mergeCell ref="D42:D44"/>
    <mergeCell ref="E42:E44"/>
    <mergeCell ref="E45:E47"/>
    <mergeCell ref="A48:A50"/>
    <mergeCell ref="D24:D26"/>
    <mergeCell ref="B24:B26"/>
    <mergeCell ref="A24:A26"/>
    <mergeCell ref="D30:D32"/>
    <mergeCell ref="B36:B38"/>
    <mergeCell ref="A36:A38"/>
    <mergeCell ref="A18:A20"/>
    <mergeCell ref="B9:B11"/>
    <mergeCell ref="B12:B14"/>
    <mergeCell ref="A12:A14"/>
    <mergeCell ref="A45:A47"/>
    <mergeCell ref="B45:B47"/>
    <mergeCell ref="A39:A41"/>
    <mergeCell ref="B42:B44"/>
    <mergeCell ref="E18:E20"/>
    <mergeCell ref="B54:B56"/>
    <mergeCell ref="B57:B59"/>
    <mergeCell ref="D57:D59"/>
    <mergeCell ref="D54:D56"/>
    <mergeCell ref="E54:E56"/>
    <mergeCell ref="E57:E59"/>
    <mergeCell ref="B48:B50"/>
    <mergeCell ref="D18:D20"/>
    <mergeCell ref="D21:D23"/>
    <mergeCell ref="D33:D35"/>
    <mergeCell ref="E30:E32"/>
    <mergeCell ref="E33:E35"/>
    <mergeCell ref="C48:C53"/>
    <mergeCell ref="B51:B53"/>
    <mergeCell ref="E21:E23"/>
    <mergeCell ref="B3:B5"/>
    <mergeCell ref="A3:A5"/>
    <mergeCell ref="A6:A8"/>
    <mergeCell ref="B6:B8"/>
    <mergeCell ref="E15:E17"/>
    <mergeCell ref="D15:D17"/>
    <mergeCell ref="A9:A11"/>
  </mergeCells>
  <pageMargins left="0.70866141732283472" right="0.70866141732283472" top="0.74803149606299213" bottom="0.74803149606299213" header="0.31496062992125984" footer="0.31496062992125984"/>
  <pageSetup paperSize="8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zoomScale="85" zoomScaleNormal="85" workbookViewId="0">
      <selection activeCell="E33" sqref="E33"/>
    </sheetView>
  </sheetViews>
  <sheetFormatPr defaultRowHeight="15" x14ac:dyDescent="0.25"/>
  <cols>
    <col min="1" max="1" width="9.85546875" customWidth="1"/>
    <col min="2" max="2" width="9.5703125" bestFit="1" customWidth="1"/>
    <col min="3" max="3" width="16.140625" customWidth="1"/>
    <col min="4" max="4" width="29.85546875" bestFit="1" customWidth="1"/>
    <col min="5" max="5" width="23.7109375" customWidth="1"/>
    <col min="6" max="6" width="35.85546875" customWidth="1"/>
    <col min="7" max="7" width="15.28515625" customWidth="1"/>
  </cols>
  <sheetData>
    <row r="1" spans="1:7" ht="15.75" thickBot="1" x14ac:dyDescent="0.3">
      <c r="A1" s="322" t="s">
        <v>130</v>
      </c>
      <c r="B1" s="259"/>
      <c r="C1" s="259"/>
      <c r="D1" s="259"/>
      <c r="E1" s="259"/>
      <c r="F1" s="259"/>
      <c r="G1" s="259"/>
    </row>
    <row r="2" spans="1:7" ht="29.25" thickBot="1" x14ac:dyDescent="0.3">
      <c r="A2" s="55" t="s">
        <v>1</v>
      </c>
      <c r="B2" s="54" t="s">
        <v>72</v>
      </c>
      <c r="C2" s="54" t="s">
        <v>116</v>
      </c>
      <c r="D2" s="56" t="s">
        <v>3</v>
      </c>
      <c r="E2" s="54" t="s">
        <v>33</v>
      </c>
      <c r="F2" s="54" t="s">
        <v>123</v>
      </c>
      <c r="G2" s="54" t="s">
        <v>124</v>
      </c>
    </row>
    <row r="3" spans="1:7" ht="15" customHeight="1" x14ac:dyDescent="0.25">
      <c r="A3" s="269"/>
      <c r="B3" s="334" t="s">
        <v>44</v>
      </c>
      <c r="C3" s="328" t="s">
        <v>127</v>
      </c>
      <c r="D3" s="331" t="s">
        <v>117</v>
      </c>
      <c r="E3" s="58" t="s">
        <v>77</v>
      </c>
      <c r="F3" s="323" t="s">
        <v>128</v>
      </c>
      <c r="G3" s="325">
        <v>44449</v>
      </c>
    </row>
    <row r="4" spans="1:7" x14ac:dyDescent="0.25">
      <c r="A4" s="246"/>
      <c r="B4" s="306"/>
      <c r="C4" s="328"/>
      <c r="D4" s="332"/>
      <c r="E4" s="59" t="s">
        <v>119</v>
      </c>
      <c r="F4" s="324"/>
      <c r="G4" s="263"/>
    </row>
    <row r="5" spans="1:7" ht="15.75" thickBot="1" x14ac:dyDescent="0.3">
      <c r="A5" s="248"/>
      <c r="B5" s="307"/>
      <c r="C5" s="328"/>
      <c r="D5" s="74" t="s">
        <v>105</v>
      </c>
      <c r="E5" s="62" t="s">
        <v>120</v>
      </c>
      <c r="F5" s="324"/>
      <c r="G5" s="263"/>
    </row>
    <row r="6" spans="1:7" ht="17.25" customHeight="1" x14ac:dyDescent="0.25">
      <c r="A6" s="269"/>
      <c r="B6" s="334" t="s">
        <v>44</v>
      </c>
      <c r="C6" s="329"/>
      <c r="D6" s="67" t="s">
        <v>118</v>
      </c>
      <c r="E6" s="61" t="s">
        <v>129</v>
      </c>
      <c r="F6" s="319"/>
      <c r="G6" s="263"/>
    </row>
    <row r="7" spans="1:7" x14ac:dyDescent="0.25">
      <c r="A7" s="246"/>
      <c r="B7" s="306"/>
      <c r="C7" s="329"/>
      <c r="D7" s="76"/>
      <c r="E7" s="59" t="s">
        <v>125</v>
      </c>
      <c r="F7" s="319"/>
      <c r="G7" s="263"/>
    </row>
    <row r="8" spans="1:7" x14ac:dyDescent="0.25">
      <c r="A8" s="333"/>
      <c r="B8" s="335"/>
      <c r="C8" s="329"/>
      <c r="D8" s="57"/>
      <c r="E8" s="59" t="s">
        <v>126</v>
      </c>
      <c r="F8" s="319"/>
      <c r="G8" s="263"/>
    </row>
    <row r="9" spans="1:7" ht="15.75" thickBot="1" x14ac:dyDescent="0.3">
      <c r="A9" s="248"/>
      <c r="B9" s="307"/>
      <c r="C9" s="330"/>
      <c r="D9" s="63"/>
      <c r="E9" s="64"/>
      <c r="F9" s="321"/>
      <c r="G9" s="326"/>
    </row>
    <row r="10" spans="1:7" hidden="1" x14ac:dyDescent="0.25">
      <c r="A10" s="249"/>
      <c r="B10" s="305" t="s">
        <v>44</v>
      </c>
      <c r="C10" s="327" t="s">
        <v>121</v>
      </c>
      <c r="D10" s="75" t="s">
        <v>122</v>
      </c>
      <c r="E10" s="66" t="s">
        <v>77</v>
      </c>
      <c r="F10" s="262"/>
      <c r="G10" s="325">
        <v>44445</v>
      </c>
    </row>
    <row r="11" spans="1:7" hidden="1" x14ac:dyDescent="0.25">
      <c r="A11" s="246"/>
      <c r="B11" s="306"/>
      <c r="C11" s="328"/>
      <c r="D11" s="68"/>
      <c r="E11" s="69" t="s">
        <v>82</v>
      </c>
      <c r="F11" s="263"/>
      <c r="G11" s="263"/>
    </row>
    <row r="12" spans="1:7" ht="15.75" hidden="1" thickBot="1" x14ac:dyDescent="0.3">
      <c r="A12" s="248"/>
      <c r="B12" s="307"/>
      <c r="C12" s="328"/>
      <c r="D12" s="70"/>
      <c r="E12" s="71"/>
      <c r="F12" s="263"/>
      <c r="G12" s="263"/>
    </row>
    <row r="13" spans="1:7" hidden="1" x14ac:dyDescent="0.25">
      <c r="A13" s="269"/>
      <c r="B13" s="334" t="s">
        <v>44</v>
      </c>
      <c r="C13" s="328"/>
      <c r="D13" s="65" t="s">
        <v>122</v>
      </c>
      <c r="E13" s="66" t="s">
        <v>77</v>
      </c>
      <c r="F13" s="263"/>
      <c r="G13" s="263"/>
    </row>
    <row r="14" spans="1:7" hidden="1" x14ac:dyDescent="0.25">
      <c r="A14" s="246"/>
      <c r="B14" s="306"/>
      <c r="C14" s="328"/>
      <c r="D14" s="72" t="s">
        <v>122</v>
      </c>
      <c r="E14" s="69" t="s">
        <v>125</v>
      </c>
      <c r="F14" s="263"/>
      <c r="G14" s="263"/>
    </row>
    <row r="15" spans="1:7" ht="15.75" hidden="1" thickBot="1" x14ac:dyDescent="0.3">
      <c r="A15" s="333"/>
      <c r="B15" s="335"/>
      <c r="C15" s="328"/>
      <c r="D15" s="72" t="s">
        <v>122</v>
      </c>
      <c r="E15" s="73" t="s">
        <v>126</v>
      </c>
      <c r="F15" s="326"/>
      <c r="G15" s="326"/>
    </row>
    <row r="16" spans="1:7" x14ac:dyDescent="0.25">
      <c r="A16" s="4"/>
      <c r="B16" s="4"/>
      <c r="C16" s="4"/>
      <c r="D16" s="33"/>
      <c r="E16" s="33"/>
      <c r="F16" s="4"/>
      <c r="G16" s="4"/>
    </row>
    <row r="17" spans="1:7" x14ac:dyDescent="0.25">
      <c r="A17" s="4"/>
      <c r="B17" s="4"/>
      <c r="C17" s="4"/>
      <c r="D17" s="4"/>
      <c r="E17" s="33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</sheetData>
  <mergeCells count="16">
    <mergeCell ref="A1:G1"/>
    <mergeCell ref="F3:F9"/>
    <mergeCell ref="G3:G9"/>
    <mergeCell ref="F10:F15"/>
    <mergeCell ref="G10:G15"/>
    <mergeCell ref="C10:C15"/>
    <mergeCell ref="C3:C9"/>
    <mergeCell ref="D3:D4"/>
    <mergeCell ref="B10:B12"/>
    <mergeCell ref="A13:A15"/>
    <mergeCell ref="B13:B15"/>
    <mergeCell ref="A3:A5"/>
    <mergeCell ref="B3:B5"/>
    <mergeCell ref="A6:A9"/>
    <mergeCell ref="B6:B9"/>
    <mergeCell ref="A10:A12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8"/>
  <sheetViews>
    <sheetView zoomScale="85" zoomScaleNormal="85" workbookViewId="0">
      <selection activeCell="R1" sqref="A1:R1048576"/>
    </sheetView>
  </sheetViews>
  <sheetFormatPr defaultRowHeight="15" x14ac:dyDescent="0.25"/>
  <cols>
    <col min="1" max="1" width="16.28515625" style="4" customWidth="1"/>
    <col min="2" max="2" width="24.42578125" style="4" customWidth="1"/>
    <col min="3" max="3" width="25.7109375" style="4" customWidth="1"/>
    <col min="4" max="4" width="14.140625" style="4" customWidth="1"/>
    <col min="5" max="5" width="12" style="4" customWidth="1"/>
    <col min="6" max="6" width="9.85546875" style="4" customWidth="1"/>
    <col min="7" max="7" width="5.5703125" style="4" customWidth="1"/>
    <col min="8" max="8" width="5.28515625" style="4" customWidth="1"/>
    <col min="9" max="9" width="5" style="4" customWidth="1"/>
    <col min="10" max="10" width="8.85546875" style="261" customWidth="1"/>
    <col min="11" max="11" width="23.7109375" style="4" customWidth="1"/>
    <col min="12" max="12" width="26.85546875" style="4" customWidth="1"/>
    <col min="13" max="13" width="14.85546875" style="4" customWidth="1"/>
    <col min="14" max="14" width="5.85546875" style="4" customWidth="1"/>
    <col min="15" max="15" width="6.85546875" style="4" customWidth="1"/>
    <col min="16" max="16" width="9.7109375" style="4" customWidth="1"/>
  </cols>
  <sheetData>
    <row r="1" spans="1:17" ht="15.75" thickBot="1" x14ac:dyDescent="0.3">
      <c r="A1" s="371" t="s">
        <v>22</v>
      </c>
      <c r="B1" s="372"/>
      <c r="C1" s="372"/>
      <c r="D1" s="372"/>
      <c r="E1" s="372"/>
      <c r="F1" s="373"/>
      <c r="G1" s="271" t="s">
        <v>32</v>
      </c>
      <c r="H1" s="374"/>
      <c r="I1" s="375"/>
      <c r="K1" s="365" t="s">
        <v>35</v>
      </c>
      <c r="L1" s="366"/>
      <c r="M1" s="367"/>
      <c r="N1" s="354" t="s">
        <v>39</v>
      </c>
      <c r="O1" s="355"/>
      <c r="P1" s="356"/>
      <c r="Q1" s="5"/>
    </row>
    <row r="2" spans="1:17" ht="43.5" thickBot="1" x14ac:dyDescent="0.3">
      <c r="A2" s="23" t="s">
        <v>1</v>
      </c>
      <c r="B2" s="24" t="s">
        <v>2</v>
      </c>
      <c r="C2" s="24" t="s">
        <v>3</v>
      </c>
      <c r="D2" s="24" t="s">
        <v>60</v>
      </c>
      <c r="E2" s="24" t="s">
        <v>21</v>
      </c>
      <c r="F2" s="25" t="s">
        <v>23</v>
      </c>
      <c r="G2" s="7" t="s">
        <v>27</v>
      </c>
      <c r="H2" s="16" t="s">
        <v>28</v>
      </c>
      <c r="I2" s="8" t="s">
        <v>29</v>
      </c>
      <c r="K2" s="11" t="s">
        <v>30</v>
      </c>
      <c r="L2" s="12" t="s">
        <v>31</v>
      </c>
      <c r="M2" s="13" t="s">
        <v>33</v>
      </c>
      <c r="N2" s="10" t="s">
        <v>41</v>
      </c>
      <c r="O2" s="22" t="s">
        <v>42</v>
      </c>
      <c r="P2" s="15" t="s">
        <v>40</v>
      </c>
    </row>
    <row r="3" spans="1:17" ht="15.75" customHeight="1" thickBot="1" x14ac:dyDescent="0.3">
      <c r="A3" s="280">
        <v>203</v>
      </c>
      <c r="B3" s="361" t="s">
        <v>0</v>
      </c>
      <c r="C3" s="2" t="s">
        <v>17</v>
      </c>
      <c r="D3" s="2" t="s">
        <v>5</v>
      </c>
      <c r="E3" s="368" t="s">
        <v>20</v>
      </c>
      <c r="F3" s="3">
        <v>1</v>
      </c>
      <c r="G3" s="26">
        <v>21</v>
      </c>
      <c r="H3" s="27">
        <v>21</v>
      </c>
      <c r="I3" s="28">
        <f>H3-G3</f>
        <v>0</v>
      </c>
      <c r="K3" s="345" t="s">
        <v>34</v>
      </c>
      <c r="L3" s="2" t="s">
        <v>36</v>
      </c>
      <c r="M3" s="3" t="s">
        <v>37</v>
      </c>
      <c r="N3" s="29">
        <v>18</v>
      </c>
      <c r="O3" s="27">
        <v>15</v>
      </c>
      <c r="P3" s="30">
        <f>O3-N3</f>
        <v>-3</v>
      </c>
    </row>
    <row r="4" spans="1:17" x14ac:dyDescent="0.25">
      <c r="A4" s="281"/>
      <c r="B4" s="301"/>
      <c r="C4" s="44" t="s">
        <v>8</v>
      </c>
      <c r="D4" s="16" t="s">
        <v>6</v>
      </c>
      <c r="E4" s="369"/>
      <c r="F4" s="8">
        <v>2</v>
      </c>
      <c r="K4" s="346"/>
      <c r="L4" s="16" t="s">
        <v>38</v>
      </c>
      <c r="M4" s="6" t="s">
        <v>50</v>
      </c>
    </row>
    <row r="5" spans="1:17" ht="15.75" thickBot="1" x14ac:dyDescent="0.3">
      <c r="A5" s="281"/>
      <c r="B5" s="301"/>
      <c r="C5" s="16" t="s">
        <v>16</v>
      </c>
      <c r="D5" s="31" t="s">
        <v>7</v>
      </c>
      <c r="E5" s="369"/>
      <c r="F5" s="8">
        <v>3</v>
      </c>
      <c r="K5" s="347"/>
      <c r="L5" s="27" t="s">
        <v>54</v>
      </c>
      <c r="M5" s="32" t="s">
        <v>55</v>
      </c>
      <c r="P5" s="33"/>
      <c r="Q5" s="33"/>
    </row>
    <row r="6" spans="1:17" x14ac:dyDescent="0.25">
      <c r="A6" s="281">
        <v>202</v>
      </c>
      <c r="B6" s="301" t="s">
        <v>0</v>
      </c>
      <c r="C6" s="42" t="s">
        <v>13</v>
      </c>
      <c r="D6" s="31" t="s">
        <v>5</v>
      </c>
      <c r="E6" s="369"/>
      <c r="F6" s="8">
        <v>4</v>
      </c>
      <c r="K6" s="348" t="s">
        <v>47</v>
      </c>
      <c r="L6" s="22" t="s">
        <v>8</v>
      </c>
      <c r="M6" s="34" t="s">
        <v>6</v>
      </c>
      <c r="N6" s="1"/>
      <c r="O6" s="1"/>
      <c r="P6" s="33"/>
    </row>
    <row r="7" spans="1:17" x14ac:dyDescent="0.25">
      <c r="A7" s="281"/>
      <c r="B7" s="301"/>
      <c r="C7" s="43" t="s">
        <v>12</v>
      </c>
      <c r="D7" s="31" t="s">
        <v>6</v>
      </c>
      <c r="E7" s="369"/>
      <c r="F7" s="8">
        <v>5</v>
      </c>
      <c r="K7" s="349"/>
      <c r="L7" s="16" t="s">
        <v>16</v>
      </c>
      <c r="M7" s="35" t="s">
        <v>7</v>
      </c>
      <c r="N7" s="1"/>
      <c r="O7" s="1"/>
      <c r="P7" s="33"/>
    </row>
    <row r="8" spans="1:17" x14ac:dyDescent="0.25">
      <c r="A8" s="281"/>
      <c r="B8" s="301"/>
      <c r="C8" s="42" t="s">
        <v>43</v>
      </c>
      <c r="D8" s="31" t="s">
        <v>7</v>
      </c>
      <c r="E8" s="369"/>
      <c r="F8" s="8">
        <v>6</v>
      </c>
      <c r="K8" s="349"/>
      <c r="L8" s="16" t="s">
        <v>12</v>
      </c>
      <c r="M8" s="35" t="s">
        <v>6</v>
      </c>
      <c r="N8" s="1"/>
      <c r="O8" s="1"/>
      <c r="P8" s="1"/>
      <c r="Q8" s="33"/>
    </row>
    <row r="9" spans="1:17" x14ac:dyDescent="0.25">
      <c r="A9" s="281">
        <v>206</v>
      </c>
      <c r="B9" s="301" t="s">
        <v>4</v>
      </c>
      <c r="C9" s="44" t="s">
        <v>71</v>
      </c>
      <c r="D9" s="31" t="s">
        <v>5</v>
      </c>
      <c r="E9" s="369"/>
      <c r="F9" s="8">
        <v>7</v>
      </c>
      <c r="K9" s="349"/>
      <c r="L9" s="36" t="s">
        <v>65</v>
      </c>
      <c r="M9" s="35" t="s">
        <v>46</v>
      </c>
      <c r="N9" s="1"/>
      <c r="O9" s="1"/>
      <c r="P9" s="1"/>
    </row>
    <row r="10" spans="1:17" x14ac:dyDescent="0.25">
      <c r="A10" s="281"/>
      <c r="B10" s="301"/>
      <c r="C10" s="43" t="s">
        <v>14</v>
      </c>
      <c r="D10" s="31" t="s">
        <v>6</v>
      </c>
      <c r="E10" s="369"/>
      <c r="F10" s="8">
        <v>8</v>
      </c>
      <c r="K10" s="349"/>
      <c r="L10" s="17" t="s">
        <v>64</v>
      </c>
      <c r="M10" s="35" t="s">
        <v>46</v>
      </c>
    </row>
    <row r="11" spans="1:17" ht="15.75" thickBot="1" x14ac:dyDescent="0.3">
      <c r="A11" s="281"/>
      <c r="B11" s="301"/>
      <c r="C11" s="43" t="s">
        <v>15</v>
      </c>
      <c r="D11" s="31" t="s">
        <v>7</v>
      </c>
      <c r="E11" s="369"/>
      <c r="F11" s="8">
        <v>9</v>
      </c>
      <c r="K11" s="350"/>
      <c r="L11" s="37" t="s">
        <v>63</v>
      </c>
      <c r="M11" s="38" t="s">
        <v>46</v>
      </c>
      <c r="Q11" s="33"/>
    </row>
    <row r="12" spans="1:17" x14ac:dyDescent="0.25">
      <c r="A12" s="281">
        <v>206</v>
      </c>
      <c r="B12" s="301" t="s">
        <v>44</v>
      </c>
      <c r="C12" s="357" t="s">
        <v>70</v>
      </c>
      <c r="D12" s="301" t="s">
        <v>45</v>
      </c>
      <c r="E12" s="369"/>
      <c r="F12" s="302">
        <v>10</v>
      </c>
      <c r="K12" s="348" t="s">
        <v>49</v>
      </c>
      <c r="L12" s="22" t="s">
        <v>43</v>
      </c>
      <c r="M12" s="39" t="s">
        <v>7</v>
      </c>
    </row>
    <row r="13" spans="1:17" x14ac:dyDescent="0.25">
      <c r="A13" s="281"/>
      <c r="B13" s="301"/>
      <c r="C13" s="358"/>
      <c r="D13" s="301"/>
      <c r="E13" s="369"/>
      <c r="F13" s="302"/>
      <c r="K13" s="349"/>
      <c r="L13" s="16" t="s">
        <v>14</v>
      </c>
      <c r="M13" s="35" t="s">
        <v>6</v>
      </c>
    </row>
    <row r="14" spans="1:17" x14ac:dyDescent="0.25">
      <c r="A14" s="281"/>
      <c r="B14" s="301"/>
      <c r="C14" s="360"/>
      <c r="D14" s="301"/>
      <c r="E14" s="369"/>
      <c r="F14" s="302"/>
      <c r="K14" s="349"/>
      <c r="L14" s="16" t="s">
        <v>15</v>
      </c>
      <c r="M14" s="35" t="s">
        <v>7</v>
      </c>
      <c r="Q14" s="33"/>
    </row>
    <row r="15" spans="1:17" x14ac:dyDescent="0.25">
      <c r="A15" s="281">
        <v>206</v>
      </c>
      <c r="B15" s="301" t="s">
        <v>44</v>
      </c>
      <c r="C15" s="357" t="s">
        <v>64</v>
      </c>
      <c r="D15" s="301" t="s">
        <v>45</v>
      </c>
      <c r="E15" s="369"/>
      <c r="F15" s="302">
        <v>11</v>
      </c>
      <c r="K15" s="349"/>
      <c r="L15" s="16" t="s">
        <v>17</v>
      </c>
      <c r="M15" s="8" t="s">
        <v>5</v>
      </c>
    </row>
    <row r="16" spans="1:17" x14ac:dyDescent="0.25">
      <c r="A16" s="281"/>
      <c r="B16" s="301"/>
      <c r="C16" s="358"/>
      <c r="D16" s="301"/>
      <c r="E16" s="369"/>
      <c r="F16" s="302"/>
      <c r="K16" s="349"/>
      <c r="L16" s="16" t="s">
        <v>13</v>
      </c>
      <c r="M16" s="35" t="s">
        <v>5</v>
      </c>
    </row>
    <row r="17" spans="1:16" ht="15.75" thickBot="1" x14ac:dyDescent="0.3">
      <c r="A17" s="281"/>
      <c r="B17" s="301"/>
      <c r="C17" s="360"/>
      <c r="D17" s="301"/>
      <c r="E17" s="369"/>
      <c r="F17" s="302"/>
      <c r="K17" s="350"/>
      <c r="L17" s="21" t="s">
        <v>18</v>
      </c>
      <c r="M17" s="40" t="s">
        <v>5</v>
      </c>
    </row>
    <row r="18" spans="1:16" x14ac:dyDescent="0.25">
      <c r="A18" s="281">
        <v>206</v>
      </c>
      <c r="B18" s="301" t="s">
        <v>44</v>
      </c>
      <c r="C18" s="357" t="s">
        <v>63</v>
      </c>
      <c r="D18" s="301" t="s">
        <v>45</v>
      </c>
      <c r="E18" s="369"/>
      <c r="F18" s="302">
        <v>12</v>
      </c>
      <c r="K18" s="336" t="s">
        <v>57</v>
      </c>
      <c r="L18" s="337"/>
      <c r="M18" s="338"/>
    </row>
    <row r="19" spans="1:16" x14ac:dyDescent="0.25">
      <c r="A19" s="281"/>
      <c r="B19" s="301"/>
      <c r="C19" s="358"/>
      <c r="D19" s="301"/>
      <c r="E19" s="369"/>
      <c r="F19" s="302"/>
      <c r="K19" s="339"/>
      <c r="L19" s="340"/>
      <c r="M19" s="319"/>
    </row>
    <row r="20" spans="1:16" ht="15.75" thickBot="1" x14ac:dyDescent="0.3">
      <c r="A20" s="293"/>
      <c r="B20" s="303"/>
      <c r="C20" s="359"/>
      <c r="D20" s="303"/>
      <c r="E20" s="370"/>
      <c r="F20" s="304"/>
      <c r="K20" s="339"/>
      <c r="L20" s="340"/>
      <c r="M20" s="319"/>
    </row>
    <row r="21" spans="1:16" ht="15.75" thickBot="1" x14ac:dyDescent="0.3">
      <c r="A21" s="280">
        <v>207</v>
      </c>
      <c r="B21" s="361" t="s">
        <v>4</v>
      </c>
      <c r="C21" s="2" t="s">
        <v>26</v>
      </c>
      <c r="D21" s="41" t="s">
        <v>5</v>
      </c>
      <c r="E21" s="362" t="s">
        <v>19</v>
      </c>
      <c r="F21" s="3">
        <v>1</v>
      </c>
      <c r="K21" s="341"/>
      <c r="L21" s="342"/>
      <c r="M21" s="321"/>
    </row>
    <row r="22" spans="1:16" ht="15.75" thickBot="1" x14ac:dyDescent="0.3">
      <c r="A22" s="281"/>
      <c r="B22" s="301"/>
      <c r="C22" s="16" t="s">
        <v>25</v>
      </c>
      <c r="D22" s="31" t="s">
        <v>6</v>
      </c>
      <c r="E22" s="363"/>
      <c r="F22" s="8">
        <v>2</v>
      </c>
      <c r="K22" s="351" t="s">
        <v>51</v>
      </c>
      <c r="L22" s="352"/>
      <c r="M22" s="353"/>
      <c r="N22" s="354" t="s">
        <v>39</v>
      </c>
      <c r="O22" s="355"/>
      <c r="P22" s="356"/>
    </row>
    <row r="23" spans="1:16" ht="30" x14ac:dyDescent="0.25">
      <c r="A23" s="281"/>
      <c r="B23" s="301"/>
      <c r="C23" s="16" t="s">
        <v>24</v>
      </c>
      <c r="D23" s="31" t="s">
        <v>7</v>
      </c>
      <c r="E23" s="363"/>
      <c r="F23" s="8">
        <v>3</v>
      </c>
      <c r="K23" s="348" t="s">
        <v>48</v>
      </c>
      <c r="L23" s="2" t="s">
        <v>52</v>
      </c>
      <c r="M23" s="3" t="s">
        <v>37</v>
      </c>
      <c r="N23" s="14" t="s">
        <v>41</v>
      </c>
      <c r="O23" s="22" t="s">
        <v>42</v>
      </c>
      <c r="P23" s="15" t="s">
        <v>40</v>
      </c>
    </row>
    <row r="24" spans="1:16" ht="15.75" thickBot="1" x14ac:dyDescent="0.3">
      <c r="A24" s="281">
        <v>208</v>
      </c>
      <c r="B24" s="301" t="s">
        <v>4</v>
      </c>
      <c r="C24" s="16" t="s">
        <v>9</v>
      </c>
      <c r="D24" s="31" t="s">
        <v>5</v>
      </c>
      <c r="E24" s="363"/>
      <c r="F24" s="8">
        <v>4</v>
      </c>
      <c r="K24" s="349"/>
      <c r="L24" s="16" t="s">
        <v>26</v>
      </c>
      <c r="M24" s="35" t="s">
        <v>5</v>
      </c>
      <c r="N24" s="29">
        <v>12</v>
      </c>
      <c r="O24" s="27">
        <v>11</v>
      </c>
      <c r="P24" s="30">
        <f>O24-N24</f>
        <v>-1</v>
      </c>
    </row>
    <row r="25" spans="1:16" x14ac:dyDescent="0.25">
      <c r="A25" s="281"/>
      <c r="B25" s="301"/>
      <c r="C25" s="16" t="s">
        <v>10</v>
      </c>
      <c r="D25" s="31" t="s">
        <v>6</v>
      </c>
      <c r="E25" s="363"/>
      <c r="F25" s="8">
        <v>5</v>
      </c>
      <c r="K25" s="349"/>
      <c r="L25" s="16" t="s">
        <v>9</v>
      </c>
      <c r="M25" s="35" t="s">
        <v>5</v>
      </c>
    </row>
    <row r="26" spans="1:16" x14ac:dyDescent="0.25">
      <c r="A26" s="281"/>
      <c r="B26" s="301"/>
      <c r="C26" s="16" t="s">
        <v>11</v>
      </c>
      <c r="D26" s="31" t="s">
        <v>7</v>
      </c>
      <c r="E26" s="363"/>
      <c r="F26" s="8">
        <v>6</v>
      </c>
      <c r="K26" s="349"/>
      <c r="L26" s="17" t="s">
        <v>59</v>
      </c>
      <c r="M26" s="8" t="s">
        <v>53</v>
      </c>
    </row>
    <row r="27" spans="1:16" x14ac:dyDescent="0.25">
      <c r="A27" s="281">
        <v>208</v>
      </c>
      <c r="B27" s="301" t="s">
        <v>44</v>
      </c>
      <c r="C27" s="301" t="s">
        <v>67</v>
      </c>
      <c r="D27" s="301" t="s">
        <v>45</v>
      </c>
      <c r="E27" s="363"/>
      <c r="F27" s="302">
        <v>7</v>
      </c>
      <c r="K27" s="349"/>
      <c r="L27" s="17" t="s">
        <v>67</v>
      </c>
      <c r="M27" s="18" t="s">
        <v>46</v>
      </c>
    </row>
    <row r="28" spans="1:16" ht="15.75" thickBot="1" x14ac:dyDescent="0.3">
      <c r="A28" s="281"/>
      <c r="B28" s="301"/>
      <c r="C28" s="301"/>
      <c r="D28" s="301"/>
      <c r="E28" s="363"/>
      <c r="F28" s="302"/>
      <c r="K28" s="350"/>
      <c r="L28" s="343" t="s">
        <v>58</v>
      </c>
      <c r="M28" s="344"/>
    </row>
    <row r="29" spans="1:16" x14ac:dyDescent="0.25">
      <c r="A29" s="281"/>
      <c r="B29" s="301"/>
      <c r="C29" s="301"/>
      <c r="D29" s="301"/>
      <c r="E29" s="363"/>
      <c r="F29" s="302"/>
      <c r="K29" s="349" t="s">
        <v>47</v>
      </c>
      <c r="L29" s="19" t="s">
        <v>68</v>
      </c>
      <c r="M29" s="20" t="s">
        <v>46</v>
      </c>
    </row>
    <row r="30" spans="1:16" x14ac:dyDescent="0.25">
      <c r="A30" s="281">
        <v>208</v>
      </c>
      <c r="B30" s="301" t="s">
        <v>44</v>
      </c>
      <c r="C30" s="357" t="s">
        <v>66</v>
      </c>
      <c r="D30" s="301" t="s">
        <v>45</v>
      </c>
      <c r="E30" s="363"/>
      <c r="F30" s="302">
        <v>8</v>
      </c>
      <c r="K30" s="349"/>
      <c r="L30" s="17" t="s">
        <v>69</v>
      </c>
      <c r="M30" s="18" t="s">
        <v>46</v>
      </c>
    </row>
    <row r="31" spans="1:16" x14ac:dyDescent="0.25">
      <c r="A31" s="281"/>
      <c r="B31" s="301"/>
      <c r="C31" s="358"/>
      <c r="D31" s="301"/>
      <c r="E31" s="363"/>
      <c r="F31" s="302"/>
      <c r="K31" s="349"/>
      <c r="L31" s="16" t="s">
        <v>25</v>
      </c>
      <c r="M31" s="35" t="s">
        <v>6</v>
      </c>
    </row>
    <row r="32" spans="1:16" x14ac:dyDescent="0.25">
      <c r="A32" s="281"/>
      <c r="B32" s="301"/>
      <c r="C32" s="360"/>
      <c r="D32" s="301"/>
      <c r="E32" s="363"/>
      <c r="F32" s="302"/>
      <c r="K32" s="349"/>
      <c r="L32" s="16" t="s">
        <v>24</v>
      </c>
      <c r="M32" s="35" t="s">
        <v>7</v>
      </c>
    </row>
    <row r="33" spans="1:13" x14ac:dyDescent="0.25">
      <c r="A33" s="281">
        <v>208</v>
      </c>
      <c r="B33" s="301" t="s">
        <v>44</v>
      </c>
      <c r="C33" s="357" t="s">
        <v>61</v>
      </c>
      <c r="D33" s="301" t="s">
        <v>45</v>
      </c>
      <c r="E33" s="363"/>
      <c r="F33" s="302">
        <v>9</v>
      </c>
      <c r="K33" s="349"/>
      <c r="L33" s="16" t="s">
        <v>10</v>
      </c>
      <c r="M33" s="35" t="s">
        <v>6</v>
      </c>
    </row>
    <row r="34" spans="1:13" ht="15.75" thickBot="1" x14ac:dyDescent="0.3">
      <c r="A34" s="281"/>
      <c r="B34" s="301"/>
      <c r="C34" s="358"/>
      <c r="D34" s="301"/>
      <c r="E34" s="363"/>
      <c r="F34" s="302"/>
      <c r="K34" s="350"/>
      <c r="L34" s="9" t="s">
        <v>11</v>
      </c>
      <c r="M34" s="38" t="s">
        <v>7</v>
      </c>
    </row>
    <row r="35" spans="1:13" ht="15.75" thickBot="1" x14ac:dyDescent="0.3">
      <c r="A35" s="293"/>
      <c r="B35" s="303"/>
      <c r="C35" s="359"/>
      <c r="D35" s="303"/>
      <c r="E35" s="364"/>
      <c r="F35" s="304"/>
      <c r="K35" s="336" t="s">
        <v>56</v>
      </c>
      <c r="L35" s="337"/>
      <c r="M35" s="338"/>
    </row>
    <row r="36" spans="1:13" x14ac:dyDescent="0.25">
      <c r="K36" s="339"/>
      <c r="L36" s="340"/>
      <c r="M36" s="319"/>
    </row>
    <row r="37" spans="1:13" x14ac:dyDescent="0.25">
      <c r="K37" s="339"/>
      <c r="L37" s="340"/>
      <c r="M37" s="319"/>
    </row>
    <row r="38" spans="1:13" ht="15.75" thickBot="1" x14ac:dyDescent="0.3">
      <c r="K38" s="341"/>
      <c r="L38" s="342"/>
      <c r="M38" s="321"/>
    </row>
  </sheetData>
  <mergeCells count="57">
    <mergeCell ref="J1:J1048576"/>
    <mergeCell ref="K1:M1"/>
    <mergeCell ref="N1:P1"/>
    <mergeCell ref="A3:A5"/>
    <mergeCell ref="B3:B5"/>
    <mergeCell ref="E3:E20"/>
    <mergeCell ref="C12:C14"/>
    <mergeCell ref="D12:D14"/>
    <mergeCell ref="F12:F14"/>
    <mergeCell ref="A1:F1"/>
    <mergeCell ref="G1:I1"/>
    <mergeCell ref="A6:A8"/>
    <mergeCell ref="B6:B8"/>
    <mergeCell ref="A9:A11"/>
    <mergeCell ref="B9:B11"/>
    <mergeCell ref="A12:A14"/>
    <mergeCell ref="B12:B14"/>
    <mergeCell ref="A15:A17"/>
    <mergeCell ref="B15:B17"/>
    <mergeCell ref="C15:C17"/>
    <mergeCell ref="D15:D17"/>
    <mergeCell ref="F15:F17"/>
    <mergeCell ref="F30:F32"/>
    <mergeCell ref="A18:A20"/>
    <mergeCell ref="B18:B20"/>
    <mergeCell ref="C18:C20"/>
    <mergeCell ref="D18:D20"/>
    <mergeCell ref="F18:F20"/>
    <mergeCell ref="A21:A23"/>
    <mergeCell ref="B21:B23"/>
    <mergeCell ref="E21:E35"/>
    <mergeCell ref="A24:A26"/>
    <mergeCell ref="B24:B26"/>
    <mergeCell ref="N22:P22"/>
    <mergeCell ref="K29:K34"/>
    <mergeCell ref="A33:A35"/>
    <mergeCell ref="B33:B35"/>
    <mergeCell ref="C33:C35"/>
    <mergeCell ref="D33:D35"/>
    <mergeCell ref="F33:F35"/>
    <mergeCell ref="A27:A29"/>
    <mergeCell ref="B27:B29"/>
    <mergeCell ref="C27:C29"/>
    <mergeCell ref="D27:D29"/>
    <mergeCell ref="F27:F29"/>
    <mergeCell ref="A30:A32"/>
    <mergeCell ref="B30:B32"/>
    <mergeCell ref="C30:C32"/>
    <mergeCell ref="D30:D32"/>
    <mergeCell ref="K35:M38"/>
    <mergeCell ref="L28:M28"/>
    <mergeCell ref="K3:K5"/>
    <mergeCell ref="K6:K11"/>
    <mergeCell ref="K12:K17"/>
    <mergeCell ref="K18:M21"/>
    <mergeCell ref="K22:M22"/>
    <mergeCell ref="K23:K28"/>
  </mergeCells>
  <conditionalFormatting sqref="I3">
    <cfRule type="cellIs" dxfId="7" priority="5" operator="greaterThan">
      <formula>0</formula>
    </cfRule>
    <cfRule type="cellIs" dxfId="6" priority="6" operator="lessThan">
      <formula>0</formula>
    </cfRule>
  </conditionalFormatting>
  <conditionalFormatting sqref="P3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P24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  <pageSetup paperSize="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График</vt:lpstr>
      <vt:lpstr>Для ПГК факт</vt:lpstr>
      <vt:lpstr>Для ПГК</vt:lpstr>
      <vt:lpstr>Лист1</vt:lpstr>
      <vt:lpstr>Для Заказчика</vt:lpstr>
      <vt:lpstr>График!Область_печати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Милушкин Кирилл Сергеевич;Давыдов Денис Юрьевич</dc:creator>
  <cp:lastModifiedBy>Артём</cp:lastModifiedBy>
  <cp:lastPrinted>2026-01-20T11:41:05Z</cp:lastPrinted>
  <dcterms:created xsi:type="dcterms:W3CDTF">2015-06-05T18:19:34Z</dcterms:created>
  <dcterms:modified xsi:type="dcterms:W3CDTF">2026-04-07T18:01:17Z</dcterms:modified>
</cp:coreProperties>
</file>